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E:\Excel Practice\Dashboard_Using_Claude_AI\"/>
    </mc:Choice>
  </mc:AlternateContent>
  <xr:revisionPtr revIDLastSave="0" documentId="13_ncr:1_{2A0837E8-6859-4F9E-819A-483FD9ACB5DC}" xr6:coauthVersionLast="47" xr6:coauthVersionMax="47" xr10:uidLastSave="{00000000-0000-0000-0000-000000000000}"/>
  <bookViews>
    <workbookView xWindow="-110" yWindow="-110" windowWidth="19420" windowHeight="10300" xr2:uid="{27917523-2504-4AAC-9547-979F35865DDD}"/>
  </bookViews>
  <sheets>
    <sheet name="Dashboard" sheetId="3" r:id="rId1"/>
    <sheet name="Data" sheetId="1" r:id="rId2"/>
    <sheet name="Pivot" sheetId="2" r:id="rId3"/>
  </sheets>
  <definedNames>
    <definedName name="Slicer_Department">#N/A</definedName>
    <definedName name="Slicer_Month">#N/A</definedName>
  </definedNames>
  <calcPr calcId="191029"/>
  <pivotCaches>
    <pivotCache cacheId="6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F5" i="3" l="1"/>
  <c r="AF6" i="3" s="1"/>
  <c r="AF4" i="3"/>
  <c r="AF3" i="3"/>
  <c r="AF2" i="3"/>
  <c r="AF7" i="3" s="1"/>
  <c r="O56" i="2"/>
  <c r="N56" i="2"/>
  <c r="M56" i="2"/>
  <c r="O55" i="2"/>
  <c r="N55" i="2"/>
  <c r="M55" i="2"/>
  <c r="O54" i="2"/>
  <c r="N54" i="2"/>
  <c r="M54" i="2"/>
  <c r="O53" i="2"/>
  <c r="N53" i="2"/>
  <c r="M53" i="2"/>
  <c r="O52" i="2"/>
  <c r="N52" i="2"/>
  <c r="M52" i="2"/>
  <c r="O51" i="2"/>
  <c r="N51" i="2"/>
  <c r="M51" i="2"/>
  <c r="K54" i="2"/>
  <c r="J54" i="2"/>
  <c r="K53" i="2"/>
  <c r="J53" i="2"/>
  <c r="K52" i="2"/>
  <c r="J52" i="2"/>
  <c r="K51" i="2"/>
  <c r="J51" i="2"/>
  <c r="H62" i="2"/>
  <c r="G62" i="2"/>
  <c r="H61" i="2"/>
  <c r="G61" i="2"/>
  <c r="H60" i="2"/>
  <c r="G60" i="2"/>
  <c r="H59" i="2"/>
  <c r="G59" i="2"/>
  <c r="H58" i="2"/>
  <c r="G58" i="2"/>
  <c r="H57" i="2"/>
  <c r="G57" i="2"/>
  <c r="H56" i="2"/>
  <c r="G56" i="2"/>
  <c r="H55" i="2"/>
  <c r="G55" i="2"/>
  <c r="H54" i="2"/>
  <c r="G54" i="2"/>
  <c r="H53" i="2"/>
  <c r="G53" i="2"/>
  <c r="H52" i="2"/>
  <c r="G52" i="2"/>
  <c r="H51" i="2"/>
  <c r="G51" i="2"/>
  <c r="E58" i="2"/>
  <c r="D58" i="2"/>
  <c r="E57" i="2"/>
  <c r="D57" i="2"/>
  <c r="E56" i="2"/>
  <c r="D56" i="2"/>
  <c r="E55" i="2"/>
  <c r="D55" i="2"/>
  <c r="E54" i="2"/>
  <c r="D54" i="2"/>
  <c r="E53" i="2"/>
  <c r="D53" i="2"/>
  <c r="E52" i="2"/>
  <c r="D52" i="2"/>
  <c r="E51" i="2"/>
  <c r="D51" i="2"/>
  <c r="B56" i="2"/>
  <c r="A56" i="2"/>
  <c r="B55" i="2"/>
  <c r="A55" i="2"/>
  <c r="B54" i="2"/>
  <c r="A54" i="2"/>
  <c r="B53" i="2"/>
  <c r="A53" i="2"/>
  <c r="B52" i="2"/>
  <c r="A52" i="2"/>
  <c r="B51" i="2"/>
  <c r="A51"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alcChain>
</file>

<file path=xl/sharedStrings.xml><?xml version="1.0" encoding="utf-8"?>
<sst xmlns="http://schemas.openxmlformats.org/spreadsheetml/2006/main" count="2158" uniqueCount="463">
  <si>
    <t>Expense ID</t>
  </si>
  <si>
    <t>Date</t>
  </si>
  <si>
    <t>Department</t>
  </si>
  <si>
    <t>Category</t>
  </si>
  <si>
    <t>Amount (INR)</t>
  </si>
  <si>
    <t>Payment Method</t>
  </si>
  <si>
    <t>Approved</t>
  </si>
  <si>
    <t>Budget Allocated</t>
  </si>
  <si>
    <t>Budget Remaining</t>
  </si>
  <si>
    <t>EXP-5001</t>
  </si>
  <si>
    <t>Engineering</t>
  </si>
  <si>
    <t>Software</t>
  </si>
  <si>
    <t>Cash</t>
  </si>
  <si>
    <t>Yes</t>
  </si>
  <si>
    <t>EXP-5002</t>
  </si>
  <si>
    <t>Marketing</t>
  </si>
  <si>
    <t>Credit Card</t>
  </si>
  <si>
    <t>EXP-5003</t>
  </si>
  <si>
    <t>Office Supplies</t>
  </si>
  <si>
    <t>EXP-5004</t>
  </si>
  <si>
    <t>Consulting</t>
  </si>
  <si>
    <t>EXP-5005</t>
  </si>
  <si>
    <t>Equipment</t>
  </si>
  <si>
    <t>Cheque</t>
  </si>
  <si>
    <t>EXP-5006</t>
  </si>
  <si>
    <t>No</t>
  </si>
  <si>
    <t>EXP-5007</t>
  </si>
  <si>
    <t>Sales</t>
  </si>
  <si>
    <t>EXP-5008</t>
  </si>
  <si>
    <t>Bank Transfer</t>
  </si>
  <si>
    <t>EXP-5009</t>
  </si>
  <si>
    <t>Utilities</t>
  </si>
  <si>
    <t>EXP-5010</t>
  </si>
  <si>
    <t>Travel</t>
  </si>
  <si>
    <t>EXP-5011</t>
  </si>
  <si>
    <t>EXP-5012</t>
  </si>
  <si>
    <t>EXP-5013</t>
  </si>
  <si>
    <t>EXP-5014</t>
  </si>
  <si>
    <t>HR</t>
  </si>
  <si>
    <t>EXP-5015</t>
  </si>
  <si>
    <t>EXP-5016</t>
  </si>
  <si>
    <t>EXP-5017</t>
  </si>
  <si>
    <t>EXP-5018</t>
  </si>
  <si>
    <t>EXP-5019</t>
  </si>
  <si>
    <t>EXP-5020</t>
  </si>
  <si>
    <t>Finance</t>
  </si>
  <si>
    <t>EXP-5021</t>
  </si>
  <si>
    <t>EXP-5022</t>
  </si>
  <si>
    <t>EXP-5023</t>
  </si>
  <si>
    <t>EXP-5024</t>
  </si>
  <si>
    <t>EXP-5025</t>
  </si>
  <si>
    <t>EXP-5026</t>
  </si>
  <si>
    <t>EXP-5027</t>
  </si>
  <si>
    <t>EXP-5028</t>
  </si>
  <si>
    <t>Operations</t>
  </si>
  <si>
    <t>EXP-5029</t>
  </si>
  <si>
    <t>EXP-5030</t>
  </si>
  <si>
    <t>EXP-5031</t>
  </si>
  <si>
    <t>EXP-5032</t>
  </si>
  <si>
    <t>EXP-5033</t>
  </si>
  <si>
    <t>EXP-5034</t>
  </si>
  <si>
    <t>Training</t>
  </si>
  <si>
    <t>EXP-5035</t>
  </si>
  <si>
    <t>EXP-5036</t>
  </si>
  <si>
    <t>EXP-5037</t>
  </si>
  <si>
    <t>EXP-5038</t>
  </si>
  <si>
    <t>EXP-5039</t>
  </si>
  <si>
    <t>EXP-5040</t>
  </si>
  <si>
    <t>EXP-5041</t>
  </si>
  <si>
    <t>EXP-5042</t>
  </si>
  <si>
    <t>EXP-5043</t>
  </si>
  <si>
    <t>EXP-5044</t>
  </si>
  <si>
    <t>EXP-5045</t>
  </si>
  <si>
    <t>EXP-5046</t>
  </si>
  <si>
    <t>EXP-5047</t>
  </si>
  <si>
    <t>EXP-5048</t>
  </si>
  <si>
    <t>EXP-5049</t>
  </si>
  <si>
    <t>EXP-5050</t>
  </si>
  <si>
    <t>EXP-5051</t>
  </si>
  <si>
    <t>EXP-5052</t>
  </si>
  <si>
    <t>EXP-5053</t>
  </si>
  <si>
    <t>EXP-5054</t>
  </si>
  <si>
    <t>EXP-5055</t>
  </si>
  <si>
    <t>EXP-5056</t>
  </si>
  <si>
    <t>EXP-5057</t>
  </si>
  <si>
    <t>EXP-5058</t>
  </si>
  <si>
    <t>EXP-5059</t>
  </si>
  <si>
    <t>EXP-5060</t>
  </si>
  <si>
    <t>EXP-5061</t>
  </si>
  <si>
    <t>EXP-5062</t>
  </si>
  <si>
    <t>EXP-5063</t>
  </si>
  <si>
    <t>EXP-5064</t>
  </si>
  <si>
    <t>EXP-5065</t>
  </si>
  <si>
    <t>EXP-5066</t>
  </si>
  <si>
    <t>EXP-5067</t>
  </si>
  <si>
    <t>EXP-5068</t>
  </si>
  <si>
    <t>EXP-5069</t>
  </si>
  <si>
    <t>EXP-5070</t>
  </si>
  <si>
    <t>EXP-5071</t>
  </si>
  <si>
    <t>EXP-5072</t>
  </si>
  <si>
    <t>EXP-5073</t>
  </si>
  <si>
    <t>EXP-5074</t>
  </si>
  <si>
    <t>EXP-5075</t>
  </si>
  <si>
    <t>EXP-5076</t>
  </si>
  <si>
    <t>EXP-5077</t>
  </si>
  <si>
    <t>EXP-5078</t>
  </si>
  <si>
    <t>EXP-5079</t>
  </si>
  <si>
    <t>EXP-5080</t>
  </si>
  <si>
    <t>EXP-5081</t>
  </si>
  <si>
    <t>EXP-5082</t>
  </si>
  <si>
    <t>EXP-5083</t>
  </si>
  <si>
    <t>EXP-5084</t>
  </si>
  <si>
    <t>EXP-5085</t>
  </si>
  <si>
    <t>EXP-5086</t>
  </si>
  <si>
    <t>EXP-5087</t>
  </si>
  <si>
    <t>EXP-5088</t>
  </si>
  <si>
    <t>EXP-5089</t>
  </si>
  <si>
    <t>EXP-5090</t>
  </si>
  <si>
    <t>EXP-5091</t>
  </si>
  <si>
    <t>EXP-5092</t>
  </si>
  <si>
    <t>EXP-5093</t>
  </si>
  <si>
    <t>EXP-5094</t>
  </si>
  <si>
    <t>EXP-5095</t>
  </si>
  <si>
    <t>EXP-5096</t>
  </si>
  <si>
    <t>EXP-5097</t>
  </si>
  <si>
    <t>EXP-5098</t>
  </si>
  <si>
    <t>EXP-5099</t>
  </si>
  <si>
    <t>EXP-5100</t>
  </si>
  <si>
    <t>EXP-5101</t>
  </si>
  <si>
    <t>EXP-5102</t>
  </si>
  <si>
    <t>EXP-5103</t>
  </si>
  <si>
    <t>EXP-5104</t>
  </si>
  <si>
    <t>EXP-5105</t>
  </si>
  <si>
    <t>EXP-5106</t>
  </si>
  <si>
    <t>EXP-5107</t>
  </si>
  <si>
    <t>EXP-5108</t>
  </si>
  <si>
    <t>EXP-5109</t>
  </si>
  <si>
    <t>EXP-5110</t>
  </si>
  <si>
    <t>EXP-5111</t>
  </si>
  <si>
    <t>EXP-5112</t>
  </si>
  <si>
    <t>EXP-5113</t>
  </si>
  <si>
    <t>EXP-5114</t>
  </si>
  <si>
    <t>EXP-5115</t>
  </si>
  <si>
    <t>EXP-5116</t>
  </si>
  <si>
    <t>EXP-5117</t>
  </si>
  <si>
    <t>EXP-5118</t>
  </si>
  <si>
    <t>EXP-5119</t>
  </si>
  <si>
    <t>EXP-5120</t>
  </si>
  <si>
    <t>EXP-5121</t>
  </si>
  <si>
    <t>EXP-5122</t>
  </si>
  <si>
    <t>EXP-5123</t>
  </si>
  <si>
    <t>EXP-5124</t>
  </si>
  <si>
    <t>EXP-5125</t>
  </si>
  <si>
    <t>EXP-5126</t>
  </si>
  <si>
    <t>EXP-5127</t>
  </si>
  <si>
    <t>EXP-5128</t>
  </si>
  <si>
    <t>EXP-5129</t>
  </si>
  <si>
    <t>EXP-5130</t>
  </si>
  <si>
    <t>EXP-5131</t>
  </si>
  <si>
    <t>EXP-5132</t>
  </si>
  <si>
    <t>EXP-5133</t>
  </si>
  <si>
    <t>EXP-5134</t>
  </si>
  <si>
    <t>EXP-5135</t>
  </si>
  <si>
    <t>EXP-5136</t>
  </si>
  <si>
    <t>EXP-5137</t>
  </si>
  <si>
    <t>EXP-5138</t>
  </si>
  <si>
    <t>EXP-5139</t>
  </si>
  <si>
    <t>EXP-5140</t>
  </si>
  <si>
    <t>EXP-5141</t>
  </si>
  <si>
    <t>EXP-5142</t>
  </si>
  <si>
    <t>EXP-5143</t>
  </si>
  <si>
    <t>EXP-5144</t>
  </si>
  <si>
    <t>EXP-5145</t>
  </si>
  <si>
    <t>EXP-5146</t>
  </si>
  <si>
    <t>EXP-5147</t>
  </si>
  <si>
    <t>EXP-5148</t>
  </si>
  <si>
    <t>EXP-5149</t>
  </si>
  <si>
    <t>EXP-5150</t>
  </si>
  <si>
    <t>EXP-5151</t>
  </si>
  <si>
    <t>EXP-5152</t>
  </si>
  <si>
    <t>EXP-5153</t>
  </si>
  <si>
    <t>EXP-5154</t>
  </si>
  <si>
    <t>EXP-5155</t>
  </si>
  <si>
    <t>EXP-5156</t>
  </si>
  <si>
    <t>EXP-5157</t>
  </si>
  <si>
    <t>EXP-5158</t>
  </si>
  <si>
    <t>EXP-5159</t>
  </si>
  <si>
    <t>EXP-5160</t>
  </si>
  <si>
    <t>EXP-5161</t>
  </si>
  <si>
    <t>EXP-5162</t>
  </si>
  <si>
    <t>EXP-5163</t>
  </si>
  <si>
    <t>EXP-5164</t>
  </si>
  <si>
    <t>EXP-5165</t>
  </si>
  <si>
    <t>EXP-5166</t>
  </si>
  <si>
    <t>EXP-5167</t>
  </si>
  <si>
    <t>EXP-5168</t>
  </si>
  <si>
    <t>EXP-5169</t>
  </si>
  <si>
    <t>EXP-5170</t>
  </si>
  <si>
    <t>EXP-5171</t>
  </si>
  <si>
    <t>EXP-5172</t>
  </si>
  <si>
    <t>EXP-5173</t>
  </si>
  <si>
    <t>EXP-5174</t>
  </si>
  <si>
    <t>EXP-5175</t>
  </si>
  <si>
    <t>EXP-5176</t>
  </si>
  <si>
    <t>EXP-5177</t>
  </si>
  <si>
    <t>EXP-5178</t>
  </si>
  <si>
    <t>EXP-5179</t>
  </si>
  <si>
    <t>EXP-5180</t>
  </si>
  <si>
    <t>EXP-5181</t>
  </si>
  <si>
    <t>EXP-5182</t>
  </si>
  <si>
    <t>EXP-5183</t>
  </si>
  <si>
    <t>EXP-5184</t>
  </si>
  <si>
    <t>EXP-5185</t>
  </si>
  <si>
    <t>EXP-5186</t>
  </si>
  <si>
    <t>EXP-5187</t>
  </si>
  <si>
    <t>EXP-5188</t>
  </si>
  <si>
    <t>EXP-5189</t>
  </si>
  <si>
    <t>EXP-5190</t>
  </si>
  <si>
    <t>EXP-5191</t>
  </si>
  <si>
    <t>EXP-5192</t>
  </si>
  <si>
    <t>EXP-5193</t>
  </si>
  <si>
    <t>EXP-5194</t>
  </si>
  <si>
    <t>EXP-5195</t>
  </si>
  <si>
    <t>EXP-5196</t>
  </si>
  <si>
    <t>EXP-5197</t>
  </si>
  <si>
    <t>EXP-5198</t>
  </si>
  <si>
    <t>EXP-5199</t>
  </si>
  <si>
    <t>EXP-5200</t>
  </si>
  <si>
    <t>EXP-5201</t>
  </si>
  <si>
    <t>EXP-5202</t>
  </si>
  <si>
    <t>EXP-5203</t>
  </si>
  <si>
    <t>EXP-5204</t>
  </si>
  <si>
    <t>EXP-5205</t>
  </si>
  <si>
    <t>EXP-5206</t>
  </si>
  <si>
    <t>EXP-5207</t>
  </si>
  <si>
    <t>EXP-5208</t>
  </si>
  <si>
    <t>EXP-5209</t>
  </si>
  <si>
    <t>EXP-5210</t>
  </si>
  <si>
    <t>EXP-5211</t>
  </si>
  <si>
    <t>EXP-5212</t>
  </si>
  <si>
    <t>EXP-5213</t>
  </si>
  <si>
    <t>EXP-5214</t>
  </si>
  <si>
    <t>EXP-5215</t>
  </si>
  <si>
    <t>EXP-5216</t>
  </si>
  <si>
    <t>EXP-5217</t>
  </si>
  <si>
    <t>EXP-5218</t>
  </si>
  <si>
    <t>EXP-5219</t>
  </si>
  <si>
    <t>EXP-5220</t>
  </si>
  <si>
    <t>EXP-5221</t>
  </si>
  <si>
    <t>EXP-5222</t>
  </si>
  <si>
    <t>EXP-5223</t>
  </si>
  <si>
    <t>EXP-5224</t>
  </si>
  <si>
    <t>EXP-5225</t>
  </si>
  <si>
    <t>EXP-5226</t>
  </si>
  <si>
    <t>EXP-5227</t>
  </si>
  <si>
    <t>EXP-5228</t>
  </si>
  <si>
    <t>EXP-5229</t>
  </si>
  <si>
    <t>EXP-5230</t>
  </si>
  <si>
    <t>EXP-5231</t>
  </si>
  <si>
    <t>EXP-5232</t>
  </si>
  <si>
    <t>EXP-5233</t>
  </si>
  <si>
    <t>EXP-5234</t>
  </si>
  <si>
    <t>EXP-5235</t>
  </si>
  <si>
    <t>EXP-5236</t>
  </si>
  <si>
    <t>EXP-5237</t>
  </si>
  <si>
    <t>EXP-5238</t>
  </si>
  <si>
    <t>EXP-5239</t>
  </si>
  <si>
    <t>EXP-5240</t>
  </si>
  <si>
    <t>EXP-5241</t>
  </si>
  <si>
    <t>EXP-5242</t>
  </si>
  <si>
    <t>EXP-5243</t>
  </si>
  <si>
    <t>EXP-5244</t>
  </si>
  <si>
    <t>EXP-5245</t>
  </si>
  <si>
    <t>EXP-5246</t>
  </si>
  <si>
    <t>EXP-5247</t>
  </si>
  <si>
    <t>EXP-5248</t>
  </si>
  <si>
    <t>EXP-5249</t>
  </si>
  <si>
    <t>EXP-5250</t>
  </si>
  <si>
    <t>EXP-5251</t>
  </si>
  <si>
    <t>EXP-5252</t>
  </si>
  <si>
    <t>EXP-5253</t>
  </si>
  <si>
    <t>EXP-5254</t>
  </si>
  <si>
    <t>EXP-5255</t>
  </si>
  <si>
    <t>EXP-5256</t>
  </si>
  <si>
    <t>EXP-5257</t>
  </si>
  <si>
    <t>EXP-5258</t>
  </si>
  <si>
    <t>EXP-5259</t>
  </si>
  <si>
    <t>EXP-5260</t>
  </si>
  <si>
    <t>EXP-5261</t>
  </si>
  <si>
    <t>EXP-5262</t>
  </si>
  <si>
    <t>EXP-5263</t>
  </si>
  <si>
    <t>EXP-5264</t>
  </si>
  <si>
    <t>EXP-5265</t>
  </si>
  <si>
    <t>EXP-5266</t>
  </si>
  <si>
    <t>EXP-5267</t>
  </si>
  <si>
    <t>EXP-5268</t>
  </si>
  <si>
    <t>EXP-5269</t>
  </si>
  <si>
    <t>EXP-5270</t>
  </si>
  <si>
    <t>EXP-5271</t>
  </si>
  <si>
    <t>EXP-5272</t>
  </si>
  <si>
    <t>EXP-5273</t>
  </si>
  <si>
    <t>EXP-5274</t>
  </si>
  <si>
    <t>EXP-5275</t>
  </si>
  <si>
    <t>EXP-5276</t>
  </si>
  <si>
    <t>EXP-5277</t>
  </si>
  <si>
    <t>EXP-5278</t>
  </si>
  <si>
    <t>EXP-5279</t>
  </si>
  <si>
    <t>EXP-5280</t>
  </si>
  <si>
    <t>EXP-5281</t>
  </si>
  <si>
    <t>EXP-5282</t>
  </si>
  <si>
    <t>EXP-5283</t>
  </si>
  <si>
    <t>EXP-5284</t>
  </si>
  <si>
    <t>EXP-5285</t>
  </si>
  <si>
    <t>EXP-5286</t>
  </si>
  <si>
    <t>EXP-5287</t>
  </si>
  <si>
    <t>EXP-5288</t>
  </si>
  <si>
    <t>EXP-5289</t>
  </si>
  <si>
    <t>EXP-5290</t>
  </si>
  <si>
    <t>EXP-5291</t>
  </si>
  <si>
    <t>EXP-5292</t>
  </si>
  <si>
    <t>EXP-5293</t>
  </si>
  <si>
    <t>EXP-5294</t>
  </si>
  <si>
    <t>EXP-5295</t>
  </si>
  <si>
    <t>EXP-5296</t>
  </si>
  <si>
    <t>EXP-5297</t>
  </si>
  <si>
    <t>EXP-5298</t>
  </si>
  <si>
    <t>EXP-5299</t>
  </si>
  <si>
    <t>EXP-5300</t>
  </si>
  <si>
    <t>EXP-5301</t>
  </si>
  <si>
    <t>EXP-5302</t>
  </si>
  <si>
    <t>EXP-5303</t>
  </si>
  <si>
    <t>EXP-5304</t>
  </si>
  <si>
    <t>EXP-5305</t>
  </si>
  <si>
    <t>EXP-5306</t>
  </si>
  <si>
    <t>EXP-5307</t>
  </si>
  <si>
    <t>EXP-5308</t>
  </si>
  <si>
    <t>EXP-5309</t>
  </si>
  <si>
    <t>EXP-5310</t>
  </si>
  <si>
    <t>EXP-5311</t>
  </si>
  <si>
    <t>EXP-5312</t>
  </si>
  <si>
    <t>EXP-5313</t>
  </si>
  <si>
    <t>EXP-5314</t>
  </si>
  <si>
    <t>EXP-5315</t>
  </si>
  <si>
    <t>EXP-5316</t>
  </si>
  <si>
    <t>EXP-5317</t>
  </si>
  <si>
    <t>EXP-5318</t>
  </si>
  <si>
    <t>EXP-5319</t>
  </si>
  <si>
    <t>EXP-5320</t>
  </si>
  <si>
    <t>EXP-5321</t>
  </si>
  <si>
    <t>EXP-5322</t>
  </si>
  <si>
    <t>EXP-5323</t>
  </si>
  <si>
    <t>EXP-5324</t>
  </si>
  <si>
    <t>EXP-5325</t>
  </si>
  <si>
    <t>EXP-5326</t>
  </si>
  <si>
    <t>EXP-5327</t>
  </si>
  <si>
    <t>EXP-5328</t>
  </si>
  <si>
    <t>EXP-5329</t>
  </si>
  <si>
    <t>EXP-5330</t>
  </si>
  <si>
    <t>EXP-5331</t>
  </si>
  <si>
    <t>EXP-5332</t>
  </si>
  <si>
    <t>EXP-5333</t>
  </si>
  <si>
    <t>EXP-5334</t>
  </si>
  <si>
    <t>EXP-5335</t>
  </si>
  <si>
    <t>EXP-5336</t>
  </si>
  <si>
    <t>EXP-5337</t>
  </si>
  <si>
    <t>EXP-5338</t>
  </si>
  <si>
    <t>EXP-5339</t>
  </si>
  <si>
    <t>EXP-5340</t>
  </si>
  <si>
    <t>EXP-5341</t>
  </si>
  <si>
    <t>EXP-5342</t>
  </si>
  <si>
    <t>EXP-5343</t>
  </si>
  <si>
    <t>EXP-5344</t>
  </si>
  <si>
    <t>EXP-5345</t>
  </si>
  <si>
    <t>EXP-5346</t>
  </si>
  <si>
    <t>EXP-5347</t>
  </si>
  <si>
    <t>EXP-5348</t>
  </si>
  <si>
    <t>EXP-5349</t>
  </si>
  <si>
    <t>EXP-5350</t>
  </si>
  <si>
    <t>EXP-5351</t>
  </si>
  <si>
    <t>EXP-5352</t>
  </si>
  <si>
    <t>EXP-5353</t>
  </si>
  <si>
    <t>EXP-5354</t>
  </si>
  <si>
    <t>EXP-5355</t>
  </si>
  <si>
    <t>EXP-5356</t>
  </si>
  <si>
    <t>EXP-5357</t>
  </si>
  <si>
    <t>EXP-5358</t>
  </si>
  <si>
    <t>EXP-5359</t>
  </si>
  <si>
    <t>EXP-5360</t>
  </si>
  <si>
    <t>EXP-5361</t>
  </si>
  <si>
    <t>EXP-5362</t>
  </si>
  <si>
    <t>EXP-5363</t>
  </si>
  <si>
    <t>EXP-5364</t>
  </si>
  <si>
    <t>EXP-5365</t>
  </si>
  <si>
    <t>EXP-5366</t>
  </si>
  <si>
    <t>EXP-5367</t>
  </si>
  <si>
    <t>EXP-5368</t>
  </si>
  <si>
    <t>EXP-5369</t>
  </si>
  <si>
    <t>EXP-5370</t>
  </si>
  <si>
    <t>EXP-5371</t>
  </si>
  <si>
    <t>EXP-5372</t>
  </si>
  <si>
    <t>EXP-5373</t>
  </si>
  <si>
    <t>EXP-5374</t>
  </si>
  <si>
    <t>EXP-5375</t>
  </si>
  <si>
    <t>EXP-5376</t>
  </si>
  <si>
    <t>EXP-5377</t>
  </si>
  <si>
    <t>EXP-5378</t>
  </si>
  <si>
    <t>EXP-5379</t>
  </si>
  <si>
    <t>EXP-5380</t>
  </si>
  <si>
    <t>EXP-5381</t>
  </si>
  <si>
    <t>EXP-5382</t>
  </si>
  <si>
    <t>EXP-5383</t>
  </si>
  <si>
    <t>EXP-5384</t>
  </si>
  <si>
    <t>EXP-5385</t>
  </si>
  <si>
    <t>EXP-5386</t>
  </si>
  <si>
    <t>EXP-5387</t>
  </si>
  <si>
    <t>EXP-5388</t>
  </si>
  <si>
    <t>EXP-5389</t>
  </si>
  <si>
    <t>EXP-5390</t>
  </si>
  <si>
    <t>EXP-5391</t>
  </si>
  <si>
    <t>EXP-5392</t>
  </si>
  <si>
    <t>EXP-5393</t>
  </si>
  <si>
    <t>EXP-5394</t>
  </si>
  <si>
    <t>EXP-5395</t>
  </si>
  <si>
    <t>EXP-5396</t>
  </si>
  <si>
    <t>EXP-5397</t>
  </si>
  <si>
    <t>EXP-5398</t>
  </si>
  <si>
    <t>EXP-5399</t>
  </si>
  <si>
    <t>EXP-5400</t>
  </si>
  <si>
    <t>EXP-5401</t>
  </si>
  <si>
    <t>EXP-5402</t>
  </si>
  <si>
    <t>EXP-5403</t>
  </si>
  <si>
    <t>EXP-5404</t>
  </si>
  <si>
    <t>EXP-5405</t>
  </si>
  <si>
    <t>EXP-5406</t>
  </si>
  <si>
    <t>EXP-5407</t>
  </si>
  <si>
    <t>EXP-5408</t>
  </si>
  <si>
    <t>EXP-5409</t>
  </si>
  <si>
    <t>EXP-5410</t>
  </si>
  <si>
    <t>EXP-5411</t>
  </si>
  <si>
    <t>EXP-5412</t>
  </si>
  <si>
    <t>EXP-5413</t>
  </si>
  <si>
    <t>EXP-5414</t>
  </si>
  <si>
    <t>EXP-5415</t>
  </si>
  <si>
    <t>Month</t>
  </si>
  <si>
    <t>Grand Total</t>
  </si>
  <si>
    <t>Sum of Amount (INR)</t>
  </si>
  <si>
    <t>Jan</t>
  </si>
  <si>
    <t>Feb</t>
  </si>
  <si>
    <t>Mar</t>
  </si>
  <si>
    <t>Apr</t>
  </si>
  <si>
    <t>May</t>
  </si>
  <si>
    <t>Jun</t>
  </si>
  <si>
    <t>Jul</t>
  </si>
  <si>
    <t>Aug</t>
  </si>
  <si>
    <t>Sep</t>
  </si>
  <si>
    <t>Oct</t>
  </si>
  <si>
    <t>Nov</t>
  </si>
  <si>
    <t>Dec</t>
  </si>
  <si>
    <t>Count of Expense ID</t>
  </si>
  <si>
    <t>Sum of Budget Allocated</t>
  </si>
  <si>
    <t>Sum of Budget Remaining</t>
  </si>
  <si>
    <t>Actual Spent</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</si>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</sst>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quot;K&quot;"/>
    <numFmt numFmtId="166" formatCode="0.0%"/>
  </numFmts>
  <fonts count="3" x14ac:knownFonts="1">
    <font>
      <sz val="11"/>
      <color theme="1"/>
      <name val="Aptos Narrow"/>
      <family val="2"/>
    </font>
    <font>
      <b/>
      <sz val="11"/>
      <color rgb="FFFFFFFF"/>
      <name val="Aptos Narrow"/>
      <family val="2"/>
    </font>
    <font>
      <sz val="10"/>
      <color theme="1"/>
      <name val="Aptos"/>
      <family val="2"/>
    </font>
  </fonts>
  <fills count="4">
    <fill>
      <patternFill patternType="none"/>
    </fill>
    <fill>
      <patternFill patternType="gray125"/>
    </fill>
    <fill>
      <patternFill patternType="solid">
        <fgColor rgb="FF0F4C1F"/>
        <bgColor indexed="64"/>
      </patternFill>
    </fill>
    <fill>
      <patternFill patternType="solid">
        <fgColor rgb="FFF6FAF4"/>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164" fontId="0" fillId="0" borderId="0" xfId="0" applyNumberFormat="1"/>
    <xf numFmtId="165" fontId="0" fillId="0" borderId="0" xfId="0" applyNumberFormat="1"/>
    <xf numFmtId="0" fontId="1" fillId="2" borderId="0" xfId="0" applyFont="1" applyFill="1"/>
    <xf numFmtId="14" fontId="1" fillId="2" borderId="0" xfId="0" applyNumberFormat="1" applyFont="1" applyFill="1"/>
    <xf numFmtId="0" fontId="0" fillId="0" borderId="0" xfId="0" pivotButton="1"/>
    <xf numFmtId="0" fontId="2" fillId="0" borderId="0" xfId="0" pivotButton="1" applyFont="1"/>
    <xf numFmtId="0" fontId="2" fillId="0" borderId="0" xfId="0" applyFont="1"/>
    <xf numFmtId="165" fontId="2" fillId="0" borderId="0" xfId="0" applyNumberFormat="1" applyFont="1"/>
    <xf numFmtId="0" fontId="0" fillId="0" borderId="0" xfId="0" applyNumberFormat="1"/>
    <xf numFmtId="3" fontId="0" fillId="0" borderId="0" xfId="0" applyNumberFormat="1"/>
    <xf numFmtId="3" fontId="2" fillId="0" borderId="0" xfId="0" applyNumberFormat="1" applyFont="1"/>
    <xf numFmtId="0" fontId="2" fillId="3" borderId="0" xfId="0" applyFont="1" applyFill="1"/>
    <xf numFmtId="165" fontId="2" fillId="3" borderId="0" xfId="0" applyNumberFormat="1" applyFont="1" applyFill="1"/>
    <xf numFmtId="3" fontId="2" fillId="3" borderId="0" xfId="0" applyNumberFormat="1" applyFont="1" applyFill="1"/>
    <xf numFmtId="166" fontId="2" fillId="3" borderId="0" xfId="0" applyNumberFormat="1" applyFont="1" applyFill="1"/>
    <xf numFmtId="0" fontId="2" fillId="3" borderId="0" xfId="0" applyFont="1" applyFill="1" applyAlignment="1">
      <alignment vertical="center"/>
    </xf>
  </cellXfs>
  <cellStyles count="1">
    <cellStyle name="Normal" xfId="0" builtinId="0"/>
  </cellStyles>
  <dxfs count="74">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name val="Aptos"/>
      </font>
    </dxf>
    <dxf>
      <font>
        <name val="Aptos"/>
      </font>
    </dxf>
    <dxf>
      <font>
        <name val="Aptos"/>
      </font>
    </dxf>
    <dxf>
      <numFmt numFmtId="3" formatCode="#,##0"/>
    </dxf>
    <dxf>
      <numFmt numFmtId="165" formatCode="#,##0,&quot;K&quot;"/>
    </dxf>
    <dxf>
      <numFmt numFmtId="3" formatCode="#,##0"/>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b/>
        <color rgb="FFFFFFFF"/>
      </font>
      <fill>
        <patternFill patternType="solid">
          <fgColor indexed="64"/>
          <bgColor rgb="FF0F4C1F"/>
        </patternFill>
      </fill>
    </dxf>
    <dxf>
      <numFmt numFmtId="165" formatCode="#,##0,&quot;K&quot;"/>
    </dxf>
    <dxf>
      <numFmt numFmtId="165" formatCode="#,##0,&quot;K&quot;"/>
    </dxf>
    <dxf>
      <numFmt numFmtId="165" formatCode="#,##0,&quot;K&quot;"/>
    </dxf>
    <dxf>
      <numFmt numFmtId="164" formatCode="dd\-m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Expense by Department</a:t>
            </a:r>
          </a:p>
        </c:rich>
      </c:tx>
      <c:overlay val="0"/>
    </c:title>
    <c:autoTitleDeleted val="0"/>
    <c:plotArea>
      <c:layout/>
      <c:barChart>
        <c:barDir val="col"/>
        <c:grouping val="clustered"/>
        <c:varyColors val="0"/>
        <c:ser>
          <c:idx val="0"/>
          <c:order val="0"/>
          <c:tx>
            <c:strRef>
              <c:f>Pivot!$B$50</c:f>
              <c:strCache>
                <c:ptCount val="1"/>
                <c:pt idx="0">
                  <c:v>Amount</c:v>
                </c:pt>
              </c:strCache>
            </c:strRef>
          </c:tx>
          <c:spPr>
            <a:gradFill flip="none" rotWithShape="1">
              <a:gsLst>
                <a:gs pos="0">
                  <a:srgbClr val="0A5D1E"/>
                </a:gs>
                <a:gs pos="100000">
                  <a:srgbClr val="278E29"/>
                </a:gs>
              </a:gsLst>
              <a:lin ang="0" scaled="1"/>
              <a:tileRect/>
            </a:gradFill>
            <a:ln>
              <a:solidFill>
                <a:srgbClr val="064219"/>
              </a:solidFill>
            </a:ln>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Pivot!$A$51:$A$56</c:f>
              <c:strCache>
                <c:ptCount val="6"/>
                <c:pt idx="0">
                  <c:v>Engineering</c:v>
                </c:pt>
                <c:pt idx="1">
                  <c:v>Finance</c:v>
                </c:pt>
                <c:pt idx="2">
                  <c:v>HR</c:v>
                </c:pt>
                <c:pt idx="3">
                  <c:v>Marketing</c:v>
                </c:pt>
                <c:pt idx="4">
                  <c:v>Operations</c:v>
                </c:pt>
                <c:pt idx="5">
                  <c:v>Sales</c:v>
                </c:pt>
              </c:strCache>
            </c:strRef>
          </c:cat>
          <c:val>
            <c:numRef>
              <c:f>Pivot!$B$51:$B$56</c:f>
              <c:numCache>
                <c:formatCode>#,##0,"K"</c:formatCode>
                <c:ptCount val="6"/>
                <c:pt idx="0">
                  <c:v>3366315</c:v>
                </c:pt>
                <c:pt idx="1">
                  <c:v>2611075</c:v>
                </c:pt>
                <c:pt idx="2">
                  <c:v>3616924</c:v>
                </c:pt>
                <c:pt idx="3">
                  <c:v>3010276</c:v>
                </c:pt>
                <c:pt idx="4">
                  <c:v>3346621</c:v>
                </c:pt>
                <c:pt idx="5">
                  <c:v>2453972</c:v>
                </c:pt>
              </c:numCache>
            </c:numRef>
          </c:val>
          <c:extLst>
            <c:ext xmlns:c16="http://schemas.microsoft.com/office/drawing/2014/chart" uri="{C3380CC4-5D6E-409C-BE32-E72D297353CC}">
              <c16:uniqueId val="{00000000-2E2E-449D-A65D-DF5109765B73}"/>
            </c:ext>
          </c:extLst>
        </c:ser>
        <c:dLbls>
          <c:showLegendKey val="0"/>
          <c:showVal val="0"/>
          <c:showCatName val="0"/>
          <c:showSerName val="0"/>
          <c:showPercent val="0"/>
          <c:showBubbleSize val="0"/>
        </c:dLbls>
        <c:gapWidth val="150"/>
        <c:axId val="2033600688"/>
        <c:axId val="890371823"/>
      </c:barChart>
      <c:catAx>
        <c:axId val="2033600688"/>
        <c:scaling>
          <c:orientation val="minMax"/>
        </c:scaling>
        <c:delete val="0"/>
        <c:axPos val="b"/>
        <c:numFmt formatCode="General" sourceLinked="1"/>
        <c:majorTickMark val="out"/>
        <c:minorTickMark val="none"/>
        <c:tickLblPos val="nextTo"/>
        <c:spPr>
          <a:ln>
            <a:solidFill>
              <a:srgbClr val="D2D2D2"/>
            </a:solidFill>
          </a:ln>
        </c:spPr>
        <c:crossAx val="890371823"/>
        <c:crosses val="autoZero"/>
        <c:auto val="1"/>
        <c:lblAlgn val="ctr"/>
        <c:lblOffset val="100"/>
        <c:noMultiLvlLbl val="0"/>
      </c:catAx>
      <c:valAx>
        <c:axId val="890371823"/>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2033600688"/>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Expense by Category</a:t>
            </a:r>
          </a:p>
        </c:rich>
      </c:tx>
      <c:overlay val="0"/>
    </c:title>
    <c:autoTitleDeleted val="0"/>
    <c:plotArea>
      <c:layout>
        <c:manualLayout>
          <c:xMode val="edge"/>
          <c:yMode val="edge"/>
          <c:x val="3.876719030080214E-2"/>
          <c:y val="0.14040905955301919"/>
          <c:w val="0.27696403642421863"/>
          <c:h val="0.7508800081525786"/>
        </c:manualLayout>
      </c:layout>
      <c:doughnutChart>
        <c:varyColors val="1"/>
        <c:ser>
          <c:idx val="0"/>
          <c:order val="0"/>
          <c:tx>
            <c:strRef>
              <c:f>Pivot!$E$50</c:f>
              <c:strCache>
                <c:ptCount val="1"/>
                <c:pt idx="0">
                  <c:v>Amount</c:v>
                </c:pt>
              </c:strCache>
            </c:strRef>
          </c:tx>
          <c:dPt>
            <c:idx val="0"/>
            <c:bubble3D val="0"/>
            <c:spPr>
              <a:solidFill>
                <a:srgbClr val="0A5D1E"/>
              </a:solidFill>
              <a:ln>
                <a:solidFill>
                  <a:srgbClr val="FFFFFF"/>
                </a:solidFill>
              </a:ln>
            </c:spPr>
            <c:extLst>
              <c:ext xmlns:c16="http://schemas.microsoft.com/office/drawing/2014/chart" uri="{C3380CC4-5D6E-409C-BE32-E72D297353CC}">
                <c16:uniqueId val="{00000001-1576-4CEA-81D1-87B590C407B9}"/>
              </c:ext>
            </c:extLst>
          </c:dPt>
          <c:dPt>
            <c:idx val="1"/>
            <c:bubble3D val="0"/>
            <c:spPr>
              <a:solidFill>
                <a:srgbClr val="84C637"/>
              </a:solidFill>
              <a:ln>
                <a:solidFill>
                  <a:srgbClr val="FFFFFF"/>
                </a:solidFill>
              </a:ln>
            </c:spPr>
            <c:extLst>
              <c:ext xmlns:c16="http://schemas.microsoft.com/office/drawing/2014/chart" uri="{C3380CC4-5D6E-409C-BE32-E72D297353CC}">
                <c16:uniqueId val="{00000002-1576-4CEA-81D1-87B590C407B9}"/>
              </c:ext>
            </c:extLst>
          </c:dPt>
          <c:dPt>
            <c:idx val="2"/>
            <c:bubble3D val="0"/>
            <c:spPr>
              <a:solidFill>
                <a:srgbClr val="5DB13A"/>
              </a:solidFill>
              <a:ln>
                <a:solidFill>
                  <a:srgbClr val="FFFFFF"/>
                </a:solidFill>
              </a:ln>
            </c:spPr>
            <c:extLst>
              <c:ext xmlns:c16="http://schemas.microsoft.com/office/drawing/2014/chart" uri="{C3380CC4-5D6E-409C-BE32-E72D297353CC}">
                <c16:uniqueId val="{00000003-1576-4CEA-81D1-87B590C407B9}"/>
              </c:ext>
            </c:extLst>
          </c:dPt>
          <c:dPt>
            <c:idx val="3"/>
            <c:bubble3D val="0"/>
            <c:spPr>
              <a:solidFill>
                <a:srgbClr val="168A96"/>
              </a:solidFill>
              <a:ln>
                <a:solidFill>
                  <a:srgbClr val="FFFFFF"/>
                </a:solidFill>
              </a:ln>
            </c:spPr>
            <c:extLst>
              <c:ext xmlns:c16="http://schemas.microsoft.com/office/drawing/2014/chart" uri="{C3380CC4-5D6E-409C-BE32-E72D297353CC}">
                <c16:uniqueId val="{00000004-1576-4CEA-81D1-87B590C407B9}"/>
              </c:ext>
            </c:extLst>
          </c:dPt>
          <c:dPt>
            <c:idx val="4"/>
            <c:bubble3D val="0"/>
            <c:spPr>
              <a:solidFill>
                <a:srgbClr val="7030A0"/>
              </a:solidFill>
              <a:ln>
                <a:solidFill>
                  <a:srgbClr val="FFFFFF"/>
                </a:solidFill>
              </a:ln>
            </c:spPr>
            <c:extLst>
              <c:ext xmlns:c16="http://schemas.microsoft.com/office/drawing/2014/chart" uri="{C3380CC4-5D6E-409C-BE32-E72D297353CC}">
                <c16:uniqueId val="{00000005-1576-4CEA-81D1-87B590C407B9}"/>
              </c:ext>
            </c:extLst>
          </c:dPt>
          <c:dPt>
            <c:idx val="5"/>
            <c:bubble3D val="0"/>
            <c:spPr>
              <a:solidFill>
                <a:srgbClr val="618724"/>
              </a:solidFill>
              <a:ln>
                <a:solidFill>
                  <a:srgbClr val="FFFFFF"/>
                </a:solidFill>
              </a:ln>
            </c:spPr>
            <c:extLst>
              <c:ext xmlns:c16="http://schemas.microsoft.com/office/drawing/2014/chart" uri="{C3380CC4-5D6E-409C-BE32-E72D297353CC}">
                <c16:uniqueId val="{00000006-1576-4CEA-81D1-87B590C407B9}"/>
              </c:ext>
            </c:extLst>
          </c:dPt>
          <c:dPt>
            <c:idx val="6"/>
            <c:bubble3D val="0"/>
            <c:spPr>
              <a:solidFill>
                <a:srgbClr val="91A0AA"/>
              </a:solidFill>
              <a:ln>
                <a:solidFill>
                  <a:srgbClr val="FFFFFF"/>
                </a:solidFill>
              </a:ln>
            </c:spPr>
            <c:extLst>
              <c:ext xmlns:c16="http://schemas.microsoft.com/office/drawing/2014/chart" uri="{C3380CC4-5D6E-409C-BE32-E72D297353CC}">
                <c16:uniqueId val="{00000007-1576-4CEA-81D1-87B590C407B9}"/>
              </c:ext>
            </c:extLst>
          </c:dPt>
          <c:dPt>
            <c:idx val="7"/>
            <c:bubble3D val="0"/>
            <c:spPr>
              <a:solidFill>
                <a:srgbClr val="ED7D31"/>
              </a:solidFill>
              <a:ln>
                <a:solidFill>
                  <a:srgbClr val="FFFFFF"/>
                </a:solidFill>
              </a:ln>
            </c:spPr>
            <c:extLst>
              <c:ext xmlns:c16="http://schemas.microsoft.com/office/drawing/2014/chart" uri="{C3380CC4-5D6E-409C-BE32-E72D297353CC}">
                <c16:uniqueId val="{00000008-1576-4CEA-81D1-87B590C407B9}"/>
              </c:ext>
            </c:extLst>
          </c:dPt>
          <c:dLbls>
            <c:numFmt formatCode="#,##0,&quot;K&quot;" sourceLinked="0"/>
            <c:spPr>
              <a:noFill/>
              <a:ln>
                <a:noFill/>
              </a:ln>
              <a:effectLst/>
            </c:spPr>
            <c:txPr>
              <a:bodyPr wrap="square" lIns="38100" tIns="19050" rIns="38100" bIns="19050" anchor="ctr">
                <a:spAutoFit/>
              </a:bodyPr>
              <a:lstStyle/>
              <a:p>
                <a:pPr>
                  <a:defRPr sz="800" b="1">
                    <a:solidFill>
                      <a:srgbClr val="FFFF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Pivot!$D$51:$D$58</c:f>
              <c:strCache>
                <c:ptCount val="8"/>
                <c:pt idx="0">
                  <c:v>Consulting</c:v>
                </c:pt>
                <c:pt idx="1">
                  <c:v>Equipment</c:v>
                </c:pt>
                <c:pt idx="2">
                  <c:v>Marketing</c:v>
                </c:pt>
                <c:pt idx="3">
                  <c:v>Office Supplies</c:v>
                </c:pt>
                <c:pt idx="4">
                  <c:v>Software</c:v>
                </c:pt>
                <c:pt idx="5">
                  <c:v>Training</c:v>
                </c:pt>
                <c:pt idx="6">
                  <c:v>Travel</c:v>
                </c:pt>
                <c:pt idx="7">
                  <c:v>Utilities</c:v>
                </c:pt>
              </c:strCache>
            </c:strRef>
          </c:cat>
          <c:val>
            <c:numRef>
              <c:f>Pivot!$E$51:$E$58</c:f>
              <c:numCache>
                <c:formatCode>#,##0,"K"</c:formatCode>
                <c:ptCount val="8"/>
                <c:pt idx="0">
                  <c:v>6030171</c:v>
                </c:pt>
                <c:pt idx="1">
                  <c:v>3671418</c:v>
                </c:pt>
                <c:pt idx="2">
                  <c:v>3505155</c:v>
                </c:pt>
                <c:pt idx="3">
                  <c:v>208093</c:v>
                </c:pt>
                <c:pt idx="4">
                  <c:v>1743238</c:v>
                </c:pt>
                <c:pt idx="5">
                  <c:v>772840</c:v>
                </c:pt>
                <c:pt idx="6">
                  <c:v>2023948</c:v>
                </c:pt>
                <c:pt idx="7">
                  <c:v>450320</c:v>
                </c:pt>
              </c:numCache>
            </c:numRef>
          </c:val>
          <c:extLst>
            <c:ext xmlns:c16="http://schemas.microsoft.com/office/drawing/2014/chart" uri="{C3380CC4-5D6E-409C-BE32-E72D297353CC}">
              <c16:uniqueId val="{00000000-1576-4CEA-81D1-87B590C407B9}"/>
            </c:ext>
          </c:extLst>
        </c:ser>
        <c:dLbls>
          <c:showLegendKey val="0"/>
          <c:showVal val="0"/>
          <c:showCatName val="0"/>
          <c:showSerName val="0"/>
          <c:showPercent val="0"/>
          <c:showBubbleSize val="0"/>
          <c:showLeaderLines val="0"/>
        </c:dLbls>
        <c:firstSliceAng val="0"/>
        <c:holeSize val="40"/>
      </c:doughnutChart>
      <c:spPr>
        <a:solidFill>
          <a:srgbClr val="FFFFFF"/>
        </a:solidFill>
      </c:spPr>
    </c:plotArea>
    <c:legend>
      <c:legendPos val="r"/>
      <c:layout>
        <c:manualLayout>
          <c:xMode val="edge"/>
          <c:yMode val="edge"/>
          <c:x val="0.53616332021401725"/>
          <c:y val="0.15003554994630272"/>
          <c:w val="0.46383664364295679"/>
          <c:h val="0.72177757570531564"/>
        </c:manualLayout>
      </c:layout>
      <c:overlay val="0"/>
      <c:txPr>
        <a:bodyPr/>
        <a:lstStyle/>
        <a:p>
          <a:pPr>
            <a:defRPr sz="1200"/>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Monthly Trend</a:t>
            </a:r>
          </a:p>
        </c:rich>
      </c:tx>
      <c:overlay val="0"/>
    </c:title>
    <c:autoTitleDeleted val="0"/>
    <c:plotArea>
      <c:layout/>
      <c:lineChart>
        <c:grouping val="standard"/>
        <c:varyColors val="0"/>
        <c:ser>
          <c:idx val="0"/>
          <c:order val="0"/>
          <c:tx>
            <c:strRef>
              <c:f>Pivot!$H$50</c:f>
              <c:strCache>
                <c:ptCount val="1"/>
                <c:pt idx="0">
                  <c:v>Amount</c:v>
                </c:pt>
              </c:strCache>
            </c:strRef>
          </c:tx>
          <c:spPr>
            <a:ln w="28575">
              <a:solidFill>
                <a:srgbClr val="08581C"/>
              </a:solidFill>
            </a:ln>
          </c:spPr>
          <c:marker>
            <c:symbol val="circle"/>
            <c:size val="6"/>
            <c:spPr>
              <a:solidFill>
                <a:srgbClr val="278E29"/>
              </a:solidFill>
              <a:ln w="28575">
                <a:solidFill>
                  <a:srgbClr val="08581C"/>
                </a:solidFill>
                <a:prstDash val="solid"/>
              </a:ln>
            </c:spPr>
          </c:marker>
          <c:dLbls>
            <c:numFmt formatCode="#,##0,&quot;K&quot;" sourceLinked="0"/>
            <c:spPr>
              <a:noFill/>
              <a:ln>
                <a:noFill/>
              </a:ln>
              <a:effectLst/>
            </c:spPr>
            <c:txPr>
              <a:bodyPr wrap="square" lIns="38100" tIns="19050" rIns="38100" bIns="19050" anchor="ctr">
                <a:spAutoFit/>
              </a:bodyPr>
              <a:lstStyle/>
              <a:p>
                <a:pPr>
                  <a:defRPr sz="800" b="1">
                    <a:solidFill>
                      <a:srgbClr val="054A19"/>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Pivot!$G$51:$G$62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Pivot!$H$51:$H$62</c:f>
              <c:numCache>
                <c:formatCode>#,##0,"K"</c:formatCode>
                <c:ptCount val="12"/>
                <c:pt idx="0">
                  <c:v>1379978</c:v>
                </c:pt>
                <c:pt idx="1">
                  <c:v>1058599</c:v>
                </c:pt>
                <c:pt idx="2">
                  <c:v>1179601</c:v>
                </c:pt>
                <c:pt idx="3">
                  <c:v>1317668</c:v>
                </c:pt>
                <c:pt idx="4">
                  <c:v>1780658</c:v>
                </c:pt>
                <c:pt idx="5">
                  <c:v>1286080</c:v>
                </c:pt>
                <c:pt idx="6">
                  <c:v>2119404</c:v>
                </c:pt>
                <c:pt idx="7">
                  <c:v>1669539</c:v>
                </c:pt>
                <c:pt idx="8">
                  <c:v>1913484</c:v>
                </c:pt>
                <c:pt idx="9">
                  <c:v>1365637</c:v>
                </c:pt>
                <c:pt idx="10">
                  <c:v>1795988</c:v>
                </c:pt>
                <c:pt idx="11">
                  <c:v>1538547</c:v>
                </c:pt>
              </c:numCache>
            </c:numRef>
          </c:val>
          <c:smooth val="0"/>
          <c:extLst>
            <c:ext xmlns:c16="http://schemas.microsoft.com/office/drawing/2014/chart" uri="{C3380CC4-5D6E-409C-BE32-E72D297353CC}">
              <c16:uniqueId val="{00000000-8082-43EB-9432-83CC9FBDC9B5}"/>
            </c:ext>
          </c:extLst>
        </c:ser>
        <c:dLbls>
          <c:showLegendKey val="0"/>
          <c:showVal val="0"/>
          <c:showCatName val="0"/>
          <c:showSerName val="0"/>
          <c:showPercent val="0"/>
          <c:showBubbleSize val="0"/>
        </c:dLbls>
        <c:marker val="1"/>
        <c:smooth val="0"/>
        <c:axId val="2101699360"/>
        <c:axId val="890278223"/>
      </c:lineChart>
      <c:catAx>
        <c:axId val="2101699360"/>
        <c:scaling>
          <c:orientation val="minMax"/>
        </c:scaling>
        <c:delete val="0"/>
        <c:axPos val="b"/>
        <c:numFmt formatCode="General" sourceLinked="1"/>
        <c:majorTickMark val="out"/>
        <c:minorTickMark val="none"/>
        <c:tickLblPos val="nextTo"/>
        <c:spPr>
          <a:ln>
            <a:solidFill>
              <a:srgbClr val="D2D2D2"/>
            </a:solidFill>
          </a:ln>
        </c:spPr>
        <c:crossAx val="890278223"/>
        <c:crosses val="autoZero"/>
        <c:auto val="1"/>
        <c:lblAlgn val="ctr"/>
        <c:lblOffset val="100"/>
        <c:noMultiLvlLbl val="0"/>
      </c:catAx>
      <c:valAx>
        <c:axId val="890278223"/>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2101699360"/>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Budget vs Actual</a:t>
            </a:r>
          </a:p>
        </c:rich>
      </c:tx>
      <c:overlay val="0"/>
    </c:title>
    <c:autoTitleDeleted val="0"/>
    <c:plotArea>
      <c:layout/>
      <c:barChart>
        <c:barDir val="col"/>
        <c:grouping val="clustered"/>
        <c:varyColors val="0"/>
        <c:ser>
          <c:idx val="0"/>
          <c:order val="0"/>
          <c:tx>
            <c:strRef>
              <c:f>Pivot!$N$50</c:f>
              <c:strCache>
                <c:ptCount val="1"/>
                <c:pt idx="0">
                  <c:v>Actual Spent</c:v>
                </c:pt>
              </c:strCache>
            </c:strRef>
          </c:tx>
          <c:spPr>
            <a:solidFill>
              <a:srgbClr val="0A5D1E"/>
            </a:soli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Pivot!$M$51:$M$56</c:f>
              <c:strCache>
                <c:ptCount val="6"/>
                <c:pt idx="0">
                  <c:v>Engineering</c:v>
                </c:pt>
                <c:pt idx="1">
                  <c:v>Finance</c:v>
                </c:pt>
                <c:pt idx="2">
                  <c:v>HR</c:v>
                </c:pt>
                <c:pt idx="3">
                  <c:v>Marketing</c:v>
                </c:pt>
                <c:pt idx="4">
                  <c:v>Operations</c:v>
                </c:pt>
                <c:pt idx="5">
                  <c:v>Sales</c:v>
                </c:pt>
              </c:strCache>
            </c:strRef>
          </c:cat>
          <c:val>
            <c:numRef>
              <c:f>Pivot!$N$51:$N$56</c:f>
              <c:numCache>
                <c:formatCode>#,##0,"K"</c:formatCode>
                <c:ptCount val="6"/>
                <c:pt idx="0">
                  <c:v>3366315</c:v>
                </c:pt>
                <c:pt idx="1">
                  <c:v>2611075</c:v>
                </c:pt>
                <c:pt idx="2">
                  <c:v>3616924</c:v>
                </c:pt>
                <c:pt idx="3">
                  <c:v>3010276</c:v>
                </c:pt>
                <c:pt idx="4">
                  <c:v>3346621</c:v>
                </c:pt>
                <c:pt idx="5">
                  <c:v>2453972</c:v>
                </c:pt>
              </c:numCache>
            </c:numRef>
          </c:val>
          <c:extLst>
            <c:ext xmlns:c16="http://schemas.microsoft.com/office/drawing/2014/chart" uri="{C3380CC4-5D6E-409C-BE32-E72D297353CC}">
              <c16:uniqueId val="{00000000-20B0-46AA-B59F-DEA63BD85D00}"/>
            </c:ext>
          </c:extLst>
        </c:ser>
        <c:ser>
          <c:idx val="1"/>
          <c:order val="1"/>
          <c:tx>
            <c:strRef>
              <c:f>Pivot!$O$50</c:f>
              <c:strCache>
                <c:ptCount val="1"/>
                <c:pt idx="0">
                  <c:v>Budget Allocated</c:v>
                </c:pt>
              </c:strCache>
            </c:strRef>
          </c:tx>
          <c:spPr>
            <a:solidFill>
              <a:srgbClr val="A6D260"/>
            </a:soli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Pivot!$M$51:$M$56</c:f>
              <c:strCache>
                <c:ptCount val="6"/>
                <c:pt idx="0">
                  <c:v>Engineering</c:v>
                </c:pt>
                <c:pt idx="1">
                  <c:v>Finance</c:v>
                </c:pt>
                <c:pt idx="2">
                  <c:v>HR</c:v>
                </c:pt>
                <c:pt idx="3">
                  <c:v>Marketing</c:v>
                </c:pt>
                <c:pt idx="4">
                  <c:v>Operations</c:v>
                </c:pt>
                <c:pt idx="5">
                  <c:v>Sales</c:v>
                </c:pt>
              </c:strCache>
            </c:strRef>
          </c:cat>
          <c:val>
            <c:numRef>
              <c:f>Pivot!$O$51:$O$56</c:f>
              <c:numCache>
                <c:formatCode>#,##0,"K"</c:formatCode>
                <c:ptCount val="6"/>
                <c:pt idx="0">
                  <c:v>4162201</c:v>
                </c:pt>
                <c:pt idx="1">
                  <c:v>3159110</c:v>
                </c:pt>
                <c:pt idx="2">
                  <c:v>4425089</c:v>
                </c:pt>
                <c:pt idx="3">
                  <c:v>3898633</c:v>
                </c:pt>
                <c:pt idx="4">
                  <c:v>4160632</c:v>
                </c:pt>
                <c:pt idx="5">
                  <c:v>3148285</c:v>
                </c:pt>
              </c:numCache>
            </c:numRef>
          </c:val>
          <c:extLst>
            <c:ext xmlns:c16="http://schemas.microsoft.com/office/drawing/2014/chart" uri="{C3380CC4-5D6E-409C-BE32-E72D297353CC}">
              <c16:uniqueId val="{00000001-20B0-46AA-B59F-DEA63BD85D00}"/>
            </c:ext>
          </c:extLst>
        </c:ser>
        <c:dLbls>
          <c:showLegendKey val="0"/>
          <c:showVal val="0"/>
          <c:showCatName val="0"/>
          <c:showSerName val="0"/>
          <c:showPercent val="0"/>
          <c:showBubbleSize val="0"/>
        </c:dLbls>
        <c:gapWidth val="150"/>
        <c:axId val="2101732768"/>
        <c:axId val="890344463"/>
      </c:barChart>
      <c:catAx>
        <c:axId val="2101732768"/>
        <c:scaling>
          <c:orientation val="minMax"/>
        </c:scaling>
        <c:delete val="0"/>
        <c:axPos val="b"/>
        <c:numFmt formatCode="General" sourceLinked="1"/>
        <c:majorTickMark val="out"/>
        <c:minorTickMark val="none"/>
        <c:tickLblPos val="nextTo"/>
        <c:spPr>
          <a:ln>
            <a:solidFill>
              <a:srgbClr val="D2D2D2"/>
            </a:solidFill>
          </a:ln>
        </c:spPr>
        <c:crossAx val="890344463"/>
        <c:crosses val="autoZero"/>
        <c:auto val="1"/>
        <c:lblAlgn val="ctr"/>
        <c:lblOffset val="100"/>
        <c:noMultiLvlLbl val="0"/>
      </c:catAx>
      <c:valAx>
        <c:axId val="890344463"/>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2101732768"/>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IN" sz="1200" b="1">
                <a:solidFill>
                  <a:srgbClr val="054A19"/>
                </a:solidFill>
              </a:rPr>
              <a:t>Payment Method</a:t>
            </a:r>
          </a:p>
        </c:rich>
      </c:tx>
      <c:overlay val="0"/>
    </c:title>
    <c:autoTitleDeleted val="0"/>
    <c:plotArea>
      <c:layout/>
      <c:barChart>
        <c:barDir val="bar"/>
        <c:grouping val="clustered"/>
        <c:varyColors val="0"/>
        <c:ser>
          <c:idx val="0"/>
          <c:order val="0"/>
          <c:tx>
            <c:strRef>
              <c:f>Pivot!$K$50</c:f>
              <c:strCache>
                <c:ptCount val="1"/>
                <c:pt idx="0">
                  <c:v>Amount</c:v>
                </c:pt>
              </c:strCache>
            </c:strRef>
          </c:tx>
          <c:spPr>
            <a:gradFill flip="none" rotWithShape="1">
              <a:gsLst>
                <a:gs pos="0">
                  <a:srgbClr val="0A5D1E"/>
                </a:gs>
                <a:gs pos="100000">
                  <a:srgbClr val="278E29"/>
                </a:gs>
              </a:gsLst>
              <a:lin ang="5400000" scaled="1"/>
              <a:tileRect/>
            </a:gra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Pivot!$J$51:$J$54</c:f>
              <c:strCache>
                <c:ptCount val="4"/>
                <c:pt idx="0">
                  <c:v>Bank Transfer</c:v>
                </c:pt>
                <c:pt idx="1">
                  <c:v>Cash</c:v>
                </c:pt>
                <c:pt idx="2">
                  <c:v>Cheque</c:v>
                </c:pt>
                <c:pt idx="3">
                  <c:v>Credit Card</c:v>
                </c:pt>
              </c:strCache>
            </c:strRef>
          </c:cat>
          <c:val>
            <c:numRef>
              <c:f>Pivot!$K$51:$K$54</c:f>
              <c:numCache>
                <c:formatCode>#,##0,"K"</c:formatCode>
                <c:ptCount val="4"/>
                <c:pt idx="0">
                  <c:v>4908988</c:v>
                </c:pt>
                <c:pt idx="1">
                  <c:v>4388835</c:v>
                </c:pt>
                <c:pt idx="2">
                  <c:v>5477461</c:v>
                </c:pt>
                <c:pt idx="3">
                  <c:v>3629899</c:v>
                </c:pt>
              </c:numCache>
            </c:numRef>
          </c:val>
          <c:extLst>
            <c:ext xmlns:c16="http://schemas.microsoft.com/office/drawing/2014/chart" uri="{C3380CC4-5D6E-409C-BE32-E72D297353CC}">
              <c16:uniqueId val="{00000000-8FE5-448D-A17D-C4A89AB3638D}"/>
            </c:ext>
          </c:extLst>
        </c:ser>
        <c:dLbls>
          <c:showLegendKey val="0"/>
          <c:showVal val="0"/>
          <c:showCatName val="0"/>
          <c:showSerName val="0"/>
          <c:showPercent val="0"/>
          <c:showBubbleSize val="0"/>
        </c:dLbls>
        <c:gapWidth val="70"/>
        <c:axId val="2101646928"/>
        <c:axId val="890348303"/>
      </c:barChart>
      <c:catAx>
        <c:axId val="2101646928"/>
        <c:scaling>
          <c:orientation val="minMax"/>
        </c:scaling>
        <c:delete val="0"/>
        <c:axPos val="l"/>
        <c:numFmt formatCode="General" sourceLinked="1"/>
        <c:majorTickMark val="out"/>
        <c:minorTickMark val="none"/>
        <c:tickLblPos val="nextTo"/>
        <c:spPr>
          <a:ln>
            <a:solidFill>
              <a:srgbClr val="D2D2D2"/>
            </a:solidFill>
          </a:ln>
        </c:spPr>
        <c:crossAx val="890348303"/>
        <c:crosses val="autoZero"/>
        <c:auto val="1"/>
        <c:lblAlgn val="ctr"/>
        <c:lblOffset val="100"/>
        <c:noMultiLvlLbl val="0"/>
      </c:catAx>
      <c:valAx>
        <c:axId val="890348303"/>
        <c:scaling>
          <c:orientation val="minMax"/>
        </c:scaling>
        <c:delete val="0"/>
        <c:axPos val="b"/>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2101646928"/>
        <c:crosses val="autoZero"/>
        <c:crossBetween val="between"/>
      </c:valAx>
      <c:spPr>
        <a:solidFill>
          <a:srgbClr val="FFFFFF"/>
        </a:solidFill>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0</xdr:colOff>
      <xdr:row>3</xdr:row>
      <xdr:rowOff>0</xdr:rowOff>
    </xdr:to>
    <xdr:sp macro="" textlink="">
      <xdr:nvSpPr>
        <xdr:cNvPr id="2" name="Header_Banner">
          <a:extLst>
            <a:ext uri="{FF2B5EF4-FFF2-40B4-BE49-F238E27FC236}">
              <a16:creationId xmlns:a16="http://schemas.microsoft.com/office/drawing/2014/main" id="{B75E8CB5-771A-F66F-5FCB-0AF766E1A8B2}"/>
            </a:ext>
          </a:extLst>
        </xdr:cNvPr>
        <xdr:cNvSpPr/>
      </xdr:nvSpPr>
      <xdr:spPr>
        <a:xfrm>
          <a:off x="0" y="0"/>
          <a:ext cx="16573500" cy="838200"/>
        </a:xfrm>
        <a:prstGeom prst="roundRect">
          <a:avLst/>
        </a:prstGeom>
        <a:gradFill flip="none" rotWithShape="1">
          <a:gsLst>
            <a:gs pos="0">
              <a:srgbClr val="064219"/>
            </a:gs>
            <a:gs pos="100000">
              <a:srgbClr val="11701F"/>
            </a:gs>
          </a:gsLst>
          <a:lin ang="54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0</xdr:row>
      <xdr:rowOff>152400</xdr:rowOff>
    </xdr:from>
    <xdr:to>
      <xdr:col>1</xdr:col>
      <xdr:colOff>133350</xdr:colOff>
      <xdr:row>2</xdr:row>
      <xdr:rowOff>127000</xdr:rowOff>
    </xdr:to>
    <xdr:sp macro="" textlink="">
      <xdr:nvSpPr>
        <xdr:cNvPr id="3" name="Oval 2">
          <a:extLst>
            <a:ext uri="{FF2B5EF4-FFF2-40B4-BE49-F238E27FC236}">
              <a16:creationId xmlns:a16="http://schemas.microsoft.com/office/drawing/2014/main" id="{04549933-78B3-7426-F2E1-459CF48724FC}"/>
            </a:ext>
          </a:extLst>
        </xdr:cNvPr>
        <xdr:cNvSpPr/>
      </xdr:nvSpPr>
      <xdr:spPr>
        <a:xfrm>
          <a:off x="152400" y="152400"/>
          <a:ext cx="533400" cy="533400"/>
        </a:xfrm>
        <a:prstGeom prst="ellipse">
          <a:avLst/>
        </a:prstGeom>
        <a:solidFill>
          <a:srgbClr val="0C581E"/>
        </a:solidFill>
        <a:ln>
          <a:solidFill>
            <a:srgbClr val="E6F5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b="1">
              <a:solidFill>
                <a:srgbClr val="FFFFFF"/>
              </a:solidFill>
            </a:rPr>
            <a:t>$</a:t>
          </a:r>
        </a:p>
      </xdr:txBody>
    </xdr:sp>
    <xdr:clientData/>
  </xdr:twoCellAnchor>
  <xdr:twoCellAnchor>
    <xdr:from>
      <xdr:col>1</xdr:col>
      <xdr:colOff>234950</xdr:colOff>
      <xdr:row>0</xdr:row>
      <xdr:rowOff>0</xdr:rowOff>
    </xdr:from>
    <xdr:to>
      <xdr:col>25</xdr:col>
      <xdr:colOff>120650</xdr:colOff>
      <xdr:row>3</xdr:row>
      <xdr:rowOff>0</xdr:rowOff>
    </xdr:to>
    <xdr:sp macro="" textlink="">
      <xdr:nvSpPr>
        <xdr:cNvPr id="4" name="TextBox 3">
          <a:extLst>
            <a:ext uri="{FF2B5EF4-FFF2-40B4-BE49-F238E27FC236}">
              <a16:creationId xmlns:a16="http://schemas.microsoft.com/office/drawing/2014/main" id="{57E4029A-2834-A081-D474-E39AB52A8773}"/>
            </a:ext>
          </a:extLst>
        </xdr:cNvPr>
        <xdr:cNvSpPr txBox="1"/>
      </xdr:nvSpPr>
      <xdr:spPr>
        <a:xfrm>
          <a:off x="787400" y="0"/>
          <a:ext cx="13144500" cy="838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ctr">
          <a:noAutofit/>
        </a:bodyPr>
        <a:lstStyle/>
        <a:p>
          <a:pPr algn="ctr"/>
          <a:r>
            <a:rPr lang="en-IN" sz="4400" b="1">
              <a:solidFill>
                <a:srgbClr val="FFFFFF"/>
              </a:solidFill>
            </a:rPr>
            <a:t>EXPENSES DASHBOARD | FY 2025</a:t>
          </a:r>
        </a:p>
      </xdr:txBody>
    </xdr:sp>
    <xdr:clientData/>
  </xdr:twoCellAnchor>
  <xdr:twoCellAnchor>
    <xdr:from>
      <xdr:col>25</xdr:col>
      <xdr:colOff>222250</xdr:colOff>
      <xdr:row>0</xdr:row>
      <xdr:rowOff>50800</xdr:rowOff>
    </xdr:from>
    <xdr:to>
      <xdr:col>29</xdr:col>
      <xdr:colOff>425450</xdr:colOff>
      <xdr:row>2</xdr:row>
      <xdr:rowOff>228600</xdr:rowOff>
    </xdr:to>
    <xdr:sp macro="" textlink="">
      <xdr:nvSpPr>
        <xdr:cNvPr id="5" name="TextBox 4">
          <a:extLst>
            <a:ext uri="{FF2B5EF4-FFF2-40B4-BE49-F238E27FC236}">
              <a16:creationId xmlns:a16="http://schemas.microsoft.com/office/drawing/2014/main" id="{9240FB0B-E24A-C05E-4317-4444001634E7}"/>
            </a:ext>
          </a:extLst>
        </xdr:cNvPr>
        <xdr:cNvSpPr txBox="1"/>
      </xdr:nvSpPr>
      <xdr:spPr>
        <a:xfrm>
          <a:off x="14033500" y="50800"/>
          <a:ext cx="2413000" cy="736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oAutofit/>
        </a:bodyPr>
        <a:lstStyle/>
        <a:p>
          <a:pPr algn="ctr"/>
          <a:r>
            <a:rPr lang="en-IN" sz="1800" b="1">
              <a:solidFill>
                <a:srgbClr val="FFFFFF"/>
              </a:solidFill>
            </a:rPr>
            <a:t>Data as of:</a:t>
          </a:r>
        </a:p>
        <a:p>
          <a:pPr algn="ctr"/>
          <a:r>
            <a:rPr lang="en-IN" sz="1800" b="1">
              <a:solidFill>
                <a:srgbClr val="FFFFFF"/>
              </a:solidFill>
            </a:rPr>
            <a:t>Jun 07, 2026</a:t>
          </a:r>
        </a:p>
      </xdr:txBody>
    </xdr:sp>
    <xdr:clientData/>
  </xdr:twoCellAnchor>
  <xdr:twoCellAnchor>
    <xdr:from>
      <xdr:col>0</xdr:col>
      <xdr:colOff>0</xdr:colOff>
      <xdr:row>4</xdr:row>
      <xdr:rowOff>0</xdr:rowOff>
    </xdr:from>
    <xdr:to>
      <xdr:col>5</xdr:col>
      <xdr:colOff>0</xdr:colOff>
      <xdr:row>8</xdr:row>
      <xdr:rowOff>0</xdr:rowOff>
    </xdr:to>
    <xdr:sp macro="" textlink="">
      <xdr:nvSpPr>
        <xdr:cNvPr id="6" name="Rectangle: Rounded Corners 5">
          <a:extLst>
            <a:ext uri="{FF2B5EF4-FFF2-40B4-BE49-F238E27FC236}">
              <a16:creationId xmlns:a16="http://schemas.microsoft.com/office/drawing/2014/main" id="{FC3F7E6E-1FA4-3F94-53FB-B1CD5421EF11}"/>
            </a:ext>
          </a:extLst>
        </xdr:cNvPr>
        <xdr:cNvSpPr/>
      </xdr:nvSpPr>
      <xdr:spPr>
        <a:xfrm>
          <a:off x="0" y="1066800"/>
          <a:ext cx="276225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127000</xdr:colOff>
      <xdr:row>4</xdr:row>
      <xdr:rowOff>203200</xdr:rowOff>
    </xdr:from>
    <xdr:to>
      <xdr:col>1</xdr:col>
      <xdr:colOff>57150</xdr:colOff>
      <xdr:row>7</xdr:row>
      <xdr:rowOff>0</xdr:rowOff>
    </xdr:to>
    <xdr:sp macro="" textlink="">
      <xdr:nvSpPr>
        <xdr:cNvPr id="7" name="Oval 6">
          <a:extLst>
            <a:ext uri="{FF2B5EF4-FFF2-40B4-BE49-F238E27FC236}">
              <a16:creationId xmlns:a16="http://schemas.microsoft.com/office/drawing/2014/main" id="{7E587D62-8824-1CF8-CED8-990C5BFC5701}"/>
            </a:ext>
          </a:extLst>
        </xdr:cNvPr>
        <xdr:cNvSpPr/>
      </xdr:nvSpPr>
      <xdr:spPr>
        <a:xfrm>
          <a:off x="127000" y="1270000"/>
          <a:ext cx="482600" cy="482600"/>
        </a:xfrm>
        <a:prstGeom prst="ellipse">
          <a:avLst/>
        </a:prstGeom>
        <a:gradFill flip="none" rotWithShape="1">
          <a:gsLst>
            <a:gs pos="0">
              <a:srgbClr val="157D18"/>
            </a:gs>
            <a:gs pos="100000">
              <a:srgbClr val="085019"/>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xdr:col>
      <xdr:colOff>133350</xdr:colOff>
      <xdr:row>4</xdr:row>
      <xdr:rowOff>101600</xdr:rowOff>
    </xdr:from>
    <xdr:to>
      <xdr:col>4</xdr:col>
      <xdr:colOff>501650</xdr:colOff>
      <xdr:row>5</xdr:row>
      <xdr:rowOff>152400</xdr:rowOff>
    </xdr:to>
    <xdr:sp macro="" textlink="">
      <xdr:nvSpPr>
        <xdr:cNvPr id="8" name="TextBox 7">
          <a:extLst>
            <a:ext uri="{FF2B5EF4-FFF2-40B4-BE49-F238E27FC236}">
              <a16:creationId xmlns:a16="http://schemas.microsoft.com/office/drawing/2014/main" id="{F7AA6FB9-872A-0A96-180F-8FF13B77A524}"/>
            </a:ext>
          </a:extLst>
        </xdr:cNvPr>
        <xdr:cNvSpPr txBox="1"/>
      </xdr:nvSpPr>
      <xdr:spPr>
        <a:xfrm>
          <a:off x="685800" y="1168400"/>
          <a:ext cx="202565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Total Expenses</a:t>
          </a:r>
        </a:p>
      </xdr:txBody>
    </xdr:sp>
    <xdr:clientData/>
  </xdr:twoCellAnchor>
  <xdr:twoCellAnchor>
    <xdr:from>
      <xdr:col>1</xdr:col>
      <xdr:colOff>133350</xdr:colOff>
      <xdr:row>5</xdr:row>
      <xdr:rowOff>139700</xdr:rowOff>
    </xdr:from>
    <xdr:to>
      <xdr:col>4</xdr:col>
      <xdr:colOff>501650</xdr:colOff>
      <xdr:row>7</xdr:row>
      <xdr:rowOff>114300</xdr:rowOff>
    </xdr:to>
    <xdr:sp macro="" textlink="Dashboard!$AF$2">
      <xdr:nvSpPr>
        <xdr:cNvPr id="9" name="TextBox 8">
          <a:extLst>
            <a:ext uri="{FF2B5EF4-FFF2-40B4-BE49-F238E27FC236}">
              <a16:creationId xmlns:a16="http://schemas.microsoft.com/office/drawing/2014/main" id="{9E9070E3-1C00-B3C9-21B1-E5819CDABA07}"/>
            </a:ext>
          </a:extLst>
        </xdr:cNvPr>
        <xdr:cNvSpPr txBox="1"/>
      </xdr:nvSpPr>
      <xdr:spPr>
        <a:xfrm>
          <a:off x="685800" y="1435100"/>
          <a:ext cx="202565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B678CDEE-DE3D-411C-B065-C02D2476FAD0}" type="TxLink">
            <a:rPr lang="en-US" sz="2800" b="1" i="0" u="none" strike="noStrike">
              <a:solidFill>
                <a:srgbClr val="054A19"/>
              </a:solidFill>
              <a:latin typeface="Aptos"/>
            </a:rPr>
            <a:t>18,405K</a:t>
          </a:fld>
          <a:endParaRPr lang="en-IN" sz="2800" b="1">
            <a:solidFill>
              <a:srgbClr val="054A19"/>
            </a:solidFill>
          </a:endParaRPr>
        </a:p>
      </xdr:txBody>
    </xdr:sp>
    <xdr:clientData/>
  </xdr:twoCellAnchor>
  <xdr:twoCellAnchor>
    <xdr:from>
      <xdr:col>1</xdr:col>
      <xdr:colOff>133350</xdr:colOff>
      <xdr:row>7</xdr:row>
      <xdr:rowOff>50800</xdr:rowOff>
    </xdr:from>
    <xdr:to>
      <xdr:col>4</xdr:col>
      <xdr:colOff>501650</xdr:colOff>
      <xdr:row>7</xdr:row>
      <xdr:rowOff>215900</xdr:rowOff>
    </xdr:to>
    <xdr:sp macro="" textlink="">
      <xdr:nvSpPr>
        <xdr:cNvPr id="10" name="TextBox 9">
          <a:extLst>
            <a:ext uri="{FF2B5EF4-FFF2-40B4-BE49-F238E27FC236}">
              <a16:creationId xmlns:a16="http://schemas.microsoft.com/office/drawing/2014/main" id="{6B5E188C-71F6-0BCE-5FD6-30AE25D977CE}"/>
            </a:ext>
          </a:extLst>
        </xdr:cNvPr>
        <xdr:cNvSpPr txBox="1"/>
      </xdr:nvSpPr>
      <xdr:spPr>
        <a:xfrm>
          <a:off x="685800" y="1803400"/>
          <a:ext cx="202565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Total Spend</a:t>
          </a:r>
        </a:p>
      </xdr:txBody>
    </xdr:sp>
    <xdr:clientData/>
  </xdr:twoCellAnchor>
  <xdr:twoCellAnchor>
    <xdr:from>
      <xdr:col>5</xdr:col>
      <xdr:colOff>0</xdr:colOff>
      <xdr:row>4</xdr:row>
      <xdr:rowOff>0</xdr:rowOff>
    </xdr:from>
    <xdr:to>
      <xdr:col>10</xdr:col>
      <xdr:colOff>0</xdr:colOff>
      <xdr:row>8</xdr:row>
      <xdr:rowOff>0</xdr:rowOff>
    </xdr:to>
    <xdr:sp macro="" textlink="">
      <xdr:nvSpPr>
        <xdr:cNvPr id="11" name="Rectangle: Rounded Corners 10">
          <a:extLst>
            <a:ext uri="{FF2B5EF4-FFF2-40B4-BE49-F238E27FC236}">
              <a16:creationId xmlns:a16="http://schemas.microsoft.com/office/drawing/2014/main" id="{0BCD7710-4231-4BD6-3299-86F85D2B05FE}"/>
            </a:ext>
          </a:extLst>
        </xdr:cNvPr>
        <xdr:cNvSpPr/>
      </xdr:nvSpPr>
      <xdr:spPr>
        <a:xfrm>
          <a:off x="2762250" y="1066800"/>
          <a:ext cx="276225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127000</xdr:colOff>
      <xdr:row>4</xdr:row>
      <xdr:rowOff>203200</xdr:rowOff>
    </xdr:from>
    <xdr:to>
      <xdr:col>6</xdr:col>
      <xdr:colOff>57150</xdr:colOff>
      <xdr:row>7</xdr:row>
      <xdr:rowOff>0</xdr:rowOff>
    </xdr:to>
    <xdr:sp macro="" textlink="">
      <xdr:nvSpPr>
        <xdr:cNvPr id="12" name="Oval 11">
          <a:extLst>
            <a:ext uri="{FF2B5EF4-FFF2-40B4-BE49-F238E27FC236}">
              <a16:creationId xmlns:a16="http://schemas.microsoft.com/office/drawing/2014/main" id="{2E84C98D-C081-54C8-BA79-9372F6F7E839}"/>
            </a:ext>
          </a:extLst>
        </xdr:cNvPr>
        <xdr:cNvSpPr/>
      </xdr:nvSpPr>
      <xdr:spPr>
        <a:xfrm>
          <a:off x="2889250" y="1270000"/>
          <a:ext cx="482600" cy="482600"/>
        </a:xfrm>
        <a:prstGeom prst="ellipse">
          <a:avLst/>
        </a:prstGeom>
        <a:gradFill flip="none" rotWithShape="1">
          <a:gsLst>
            <a:gs pos="0">
              <a:srgbClr val="439820"/>
            </a:gs>
            <a:gs pos="100000">
              <a:srgbClr val="085019"/>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6</xdr:col>
      <xdr:colOff>133350</xdr:colOff>
      <xdr:row>4</xdr:row>
      <xdr:rowOff>101600</xdr:rowOff>
    </xdr:from>
    <xdr:to>
      <xdr:col>9</xdr:col>
      <xdr:colOff>501650</xdr:colOff>
      <xdr:row>5</xdr:row>
      <xdr:rowOff>152400</xdr:rowOff>
    </xdr:to>
    <xdr:sp macro="" textlink="">
      <xdr:nvSpPr>
        <xdr:cNvPr id="13" name="TextBox 12">
          <a:extLst>
            <a:ext uri="{FF2B5EF4-FFF2-40B4-BE49-F238E27FC236}">
              <a16:creationId xmlns:a16="http://schemas.microsoft.com/office/drawing/2014/main" id="{C8F10AE2-AC64-6D99-E42F-1ED238D7A355}"/>
            </a:ext>
          </a:extLst>
        </xdr:cNvPr>
        <xdr:cNvSpPr txBox="1"/>
      </xdr:nvSpPr>
      <xdr:spPr>
        <a:xfrm>
          <a:off x="3448050" y="1168400"/>
          <a:ext cx="202565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Budget Allocated</a:t>
          </a:r>
        </a:p>
      </xdr:txBody>
    </xdr:sp>
    <xdr:clientData/>
  </xdr:twoCellAnchor>
  <xdr:twoCellAnchor>
    <xdr:from>
      <xdr:col>6</xdr:col>
      <xdr:colOff>133350</xdr:colOff>
      <xdr:row>5</xdr:row>
      <xdr:rowOff>139700</xdr:rowOff>
    </xdr:from>
    <xdr:to>
      <xdr:col>9</xdr:col>
      <xdr:colOff>501650</xdr:colOff>
      <xdr:row>7</xdr:row>
      <xdr:rowOff>114300</xdr:rowOff>
    </xdr:to>
    <xdr:sp macro="" textlink="Dashboard!$AF$3">
      <xdr:nvSpPr>
        <xdr:cNvPr id="14" name="TextBox 13">
          <a:extLst>
            <a:ext uri="{FF2B5EF4-FFF2-40B4-BE49-F238E27FC236}">
              <a16:creationId xmlns:a16="http://schemas.microsoft.com/office/drawing/2014/main" id="{C2BFA382-27D9-811F-AFD7-A7EB0015218C}"/>
            </a:ext>
          </a:extLst>
        </xdr:cNvPr>
        <xdr:cNvSpPr txBox="1"/>
      </xdr:nvSpPr>
      <xdr:spPr>
        <a:xfrm>
          <a:off x="3448050" y="1435100"/>
          <a:ext cx="202565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4B312FB4-AB42-45D3-8CD7-7785D98D7C61}" type="TxLink">
            <a:rPr lang="en-US" sz="2800" b="1" i="0" u="none" strike="noStrike">
              <a:solidFill>
                <a:srgbClr val="054A19"/>
              </a:solidFill>
              <a:latin typeface="Aptos"/>
            </a:rPr>
            <a:t>22,954K</a:t>
          </a:fld>
          <a:endParaRPr lang="en-IN" sz="2800" b="1">
            <a:solidFill>
              <a:srgbClr val="054A19"/>
            </a:solidFill>
          </a:endParaRPr>
        </a:p>
      </xdr:txBody>
    </xdr:sp>
    <xdr:clientData/>
  </xdr:twoCellAnchor>
  <xdr:twoCellAnchor>
    <xdr:from>
      <xdr:col>6</xdr:col>
      <xdr:colOff>133350</xdr:colOff>
      <xdr:row>7</xdr:row>
      <xdr:rowOff>50800</xdr:rowOff>
    </xdr:from>
    <xdr:to>
      <xdr:col>9</xdr:col>
      <xdr:colOff>501650</xdr:colOff>
      <xdr:row>7</xdr:row>
      <xdr:rowOff>215900</xdr:rowOff>
    </xdr:to>
    <xdr:sp macro="" textlink="">
      <xdr:nvSpPr>
        <xdr:cNvPr id="15" name="TextBox 14">
          <a:extLst>
            <a:ext uri="{FF2B5EF4-FFF2-40B4-BE49-F238E27FC236}">
              <a16:creationId xmlns:a16="http://schemas.microsoft.com/office/drawing/2014/main" id="{F6860534-AD0D-B394-233C-998B5270765A}"/>
            </a:ext>
          </a:extLst>
        </xdr:cNvPr>
        <xdr:cNvSpPr txBox="1"/>
      </xdr:nvSpPr>
      <xdr:spPr>
        <a:xfrm>
          <a:off x="3448050" y="1803400"/>
          <a:ext cx="202565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100% of Plan</a:t>
          </a:r>
        </a:p>
      </xdr:txBody>
    </xdr:sp>
    <xdr:clientData/>
  </xdr:twoCellAnchor>
  <xdr:twoCellAnchor>
    <xdr:from>
      <xdr:col>10</xdr:col>
      <xdr:colOff>0</xdr:colOff>
      <xdr:row>4</xdr:row>
      <xdr:rowOff>0</xdr:rowOff>
    </xdr:from>
    <xdr:to>
      <xdr:col>15</xdr:col>
      <xdr:colOff>0</xdr:colOff>
      <xdr:row>8</xdr:row>
      <xdr:rowOff>0</xdr:rowOff>
    </xdr:to>
    <xdr:sp macro="" textlink="">
      <xdr:nvSpPr>
        <xdr:cNvPr id="16" name="Rectangle: Rounded Corners 15">
          <a:extLst>
            <a:ext uri="{FF2B5EF4-FFF2-40B4-BE49-F238E27FC236}">
              <a16:creationId xmlns:a16="http://schemas.microsoft.com/office/drawing/2014/main" id="{07E7CFA8-830F-1287-3B7A-2008D221CF8B}"/>
            </a:ext>
          </a:extLst>
        </xdr:cNvPr>
        <xdr:cNvSpPr/>
      </xdr:nvSpPr>
      <xdr:spPr>
        <a:xfrm>
          <a:off x="5524500" y="1066800"/>
          <a:ext cx="276225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127000</xdr:colOff>
      <xdr:row>4</xdr:row>
      <xdr:rowOff>203200</xdr:rowOff>
    </xdr:from>
    <xdr:to>
      <xdr:col>11</xdr:col>
      <xdr:colOff>57150</xdr:colOff>
      <xdr:row>7</xdr:row>
      <xdr:rowOff>0</xdr:rowOff>
    </xdr:to>
    <xdr:sp macro="" textlink="">
      <xdr:nvSpPr>
        <xdr:cNvPr id="17" name="Oval 16">
          <a:extLst>
            <a:ext uri="{FF2B5EF4-FFF2-40B4-BE49-F238E27FC236}">
              <a16:creationId xmlns:a16="http://schemas.microsoft.com/office/drawing/2014/main" id="{216F7523-3480-812C-AAFF-BA20237457F8}"/>
            </a:ext>
          </a:extLst>
        </xdr:cNvPr>
        <xdr:cNvSpPr/>
      </xdr:nvSpPr>
      <xdr:spPr>
        <a:xfrm>
          <a:off x="5651500" y="1270000"/>
          <a:ext cx="482600" cy="482600"/>
        </a:xfrm>
        <a:prstGeom prst="ellipse">
          <a:avLst/>
        </a:prstGeom>
        <a:gradFill flip="none" rotWithShape="1">
          <a:gsLst>
            <a:gs pos="0">
              <a:srgbClr val="5DAB39"/>
            </a:gs>
            <a:gs pos="100000">
              <a:srgbClr val="085019"/>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11</xdr:col>
      <xdr:colOff>133350</xdr:colOff>
      <xdr:row>4</xdr:row>
      <xdr:rowOff>101600</xdr:rowOff>
    </xdr:from>
    <xdr:to>
      <xdr:col>14</xdr:col>
      <xdr:colOff>501650</xdr:colOff>
      <xdr:row>5</xdr:row>
      <xdr:rowOff>152400</xdr:rowOff>
    </xdr:to>
    <xdr:sp macro="" textlink="">
      <xdr:nvSpPr>
        <xdr:cNvPr id="18" name="TextBox 17">
          <a:extLst>
            <a:ext uri="{FF2B5EF4-FFF2-40B4-BE49-F238E27FC236}">
              <a16:creationId xmlns:a16="http://schemas.microsoft.com/office/drawing/2014/main" id="{8128E152-9D5B-7FD5-42D6-4CD403A63E42}"/>
            </a:ext>
          </a:extLst>
        </xdr:cNvPr>
        <xdr:cNvSpPr txBox="1"/>
      </xdr:nvSpPr>
      <xdr:spPr>
        <a:xfrm>
          <a:off x="6210300" y="1168400"/>
          <a:ext cx="202565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Budget Remaining</a:t>
          </a:r>
        </a:p>
      </xdr:txBody>
    </xdr:sp>
    <xdr:clientData/>
  </xdr:twoCellAnchor>
  <xdr:twoCellAnchor>
    <xdr:from>
      <xdr:col>11</xdr:col>
      <xdr:colOff>133350</xdr:colOff>
      <xdr:row>5</xdr:row>
      <xdr:rowOff>139700</xdr:rowOff>
    </xdr:from>
    <xdr:to>
      <xdr:col>14</xdr:col>
      <xdr:colOff>501650</xdr:colOff>
      <xdr:row>7</xdr:row>
      <xdr:rowOff>114300</xdr:rowOff>
    </xdr:to>
    <xdr:sp macro="" textlink="Dashboard!$AF$4">
      <xdr:nvSpPr>
        <xdr:cNvPr id="19" name="TextBox 18">
          <a:extLst>
            <a:ext uri="{FF2B5EF4-FFF2-40B4-BE49-F238E27FC236}">
              <a16:creationId xmlns:a16="http://schemas.microsoft.com/office/drawing/2014/main" id="{B06BB20F-F02E-BEC1-78A7-C20FD1EBA609}"/>
            </a:ext>
          </a:extLst>
        </xdr:cNvPr>
        <xdr:cNvSpPr txBox="1"/>
      </xdr:nvSpPr>
      <xdr:spPr>
        <a:xfrm>
          <a:off x="6210300" y="1435100"/>
          <a:ext cx="202565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1461D97E-9BCC-415D-9D06-CAE8F2065836}" type="TxLink">
            <a:rPr lang="en-US" sz="2800" b="1" i="0" u="none" strike="noStrike">
              <a:solidFill>
                <a:srgbClr val="054A19"/>
              </a:solidFill>
              <a:latin typeface="Aptos"/>
            </a:rPr>
            <a:t>4,549K</a:t>
          </a:fld>
          <a:endParaRPr lang="en-IN" sz="2800" b="1">
            <a:solidFill>
              <a:srgbClr val="054A19"/>
            </a:solidFill>
          </a:endParaRPr>
        </a:p>
      </xdr:txBody>
    </xdr:sp>
    <xdr:clientData/>
  </xdr:twoCellAnchor>
  <xdr:twoCellAnchor>
    <xdr:from>
      <xdr:col>11</xdr:col>
      <xdr:colOff>133350</xdr:colOff>
      <xdr:row>7</xdr:row>
      <xdr:rowOff>50800</xdr:rowOff>
    </xdr:from>
    <xdr:to>
      <xdr:col>14</xdr:col>
      <xdr:colOff>501650</xdr:colOff>
      <xdr:row>7</xdr:row>
      <xdr:rowOff>215900</xdr:rowOff>
    </xdr:to>
    <xdr:sp macro="" textlink="">
      <xdr:nvSpPr>
        <xdr:cNvPr id="20" name="TextBox 19">
          <a:extLst>
            <a:ext uri="{FF2B5EF4-FFF2-40B4-BE49-F238E27FC236}">
              <a16:creationId xmlns:a16="http://schemas.microsoft.com/office/drawing/2014/main" id="{A295A8E4-D768-5D12-9361-4E527BE024C6}"/>
            </a:ext>
          </a:extLst>
        </xdr:cNvPr>
        <xdr:cNvSpPr txBox="1"/>
      </xdr:nvSpPr>
      <xdr:spPr>
        <a:xfrm>
          <a:off x="6210300" y="1803400"/>
          <a:ext cx="202565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Remaining Budget</a:t>
          </a:r>
        </a:p>
      </xdr:txBody>
    </xdr:sp>
    <xdr:clientData/>
  </xdr:twoCellAnchor>
  <xdr:twoCellAnchor>
    <xdr:from>
      <xdr:col>15</xdr:col>
      <xdr:colOff>0</xdr:colOff>
      <xdr:row>4</xdr:row>
      <xdr:rowOff>0</xdr:rowOff>
    </xdr:from>
    <xdr:to>
      <xdr:col>20</xdr:col>
      <xdr:colOff>0</xdr:colOff>
      <xdr:row>8</xdr:row>
      <xdr:rowOff>0</xdr:rowOff>
    </xdr:to>
    <xdr:sp macro="" textlink="">
      <xdr:nvSpPr>
        <xdr:cNvPr id="21" name="Rectangle: Rounded Corners 20">
          <a:extLst>
            <a:ext uri="{FF2B5EF4-FFF2-40B4-BE49-F238E27FC236}">
              <a16:creationId xmlns:a16="http://schemas.microsoft.com/office/drawing/2014/main" id="{7EF73558-6440-DF36-F2FA-4F3C72C14189}"/>
            </a:ext>
          </a:extLst>
        </xdr:cNvPr>
        <xdr:cNvSpPr/>
      </xdr:nvSpPr>
      <xdr:spPr>
        <a:xfrm>
          <a:off x="8286750" y="1066800"/>
          <a:ext cx="276225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127000</xdr:colOff>
      <xdr:row>4</xdr:row>
      <xdr:rowOff>203200</xdr:rowOff>
    </xdr:from>
    <xdr:to>
      <xdr:col>16</xdr:col>
      <xdr:colOff>57150</xdr:colOff>
      <xdr:row>7</xdr:row>
      <xdr:rowOff>0</xdr:rowOff>
    </xdr:to>
    <xdr:sp macro="" textlink="">
      <xdr:nvSpPr>
        <xdr:cNvPr id="22" name="Oval 21">
          <a:extLst>
            <a:ext uri="{FF2B5EF4-FFF2-40B4-BE49-F238E27FC236}">
              <a16:creationId xmlns:a16="http://schemas.microsoft.com/office/drawing/2014/main" id="{04510B77-EEEA-5BA5-72A0-0BF0B422FA85}"/>
            </a:ext>
          </a:extLst>
        </xdr:cNvPr>
        <xdr:cNvSpPr/>
      </xdr:nvSpPr>
      <xdr:spPr>
        <a:xfrm>
          <a:off x="8413750" y="1270000"/>
          <a:ext cx="482600" cy="482600"/>
        </a:xfrm>
        <a:prstGeom prst="ellipse">
          <a:avLst/>
        </a:prstGeom>
        <a:gradFill flip="none" rotWithShape="1">
          <a:gsLst>
            <a:gs pos="0">
              <a:srgbClr val="11793A"/>
            </a:gs>
            <a:gs pos="100000">
              <a:srgbClr val="085019"/>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16</xdr:col>
      <xdr:colOff>133350</xdr:colOff>
      <xdr:row>4</xdr:row>
      <xdr:rowOff>101600</xdr:rowOff>
    </xdr:from>
    <xdr:to>
      <xdr:col>19</xdr:col>
      <xdr:colOff>501650</xdr:colOff>
      <xdr:row>5</xdr:row>
      <xdr:rowOff>152400</xdr:rowOff>
    </xdr:to>
    <xdr:sp macro="" textlink="">
      <xdr:nvSpPr>
        <xdr:cNvPr id="23" name="TextBox 22">
          <a:extLst>
            <a:ext uri="{FF2B5EF4-FFF2-40B4-BE49-F238E27FC236}">
              <a16:creationId xmlns:a16="http://schemas.microsoft.com/office/drawing/2014/main" id="{F24E7101-AF18-44A4-96B9-D1640D462FB5}"/>
            </a:ext>
          </a:extLst>
        </xdr:cNvPr>
        <xdr:cNvSpPr txBox="1"/>
      </xdr:nvSpPr>
      <xdr:spPr>
        <a:xfrm>
          <a:off x="8972550" y="1168400"/>
          <a:ext cx="202565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Transactions</a:t>
          </a:r>
        </a:p>
      </xdr:txBody>
    </xdr:sp>
    <xdr:clientData/>
  </xdr:twoCellAnchor>
  <xdr:twoCellAnchor>
    <xdr:from>
      <xdr:col>16</xdr:col>
      <xdr:colOff>133350</xdr:colOff>
      <xdr:row>5</xdr:row>
      <xdr:rowOff>139700</xdr:rowOff>
    </xdr:from>
    <xdr:to>
      <xdr:col>19</xdr:col>
      <xdr:colOff>501650</xdr:colOff>
      <xdr:row>7</xdr:row>
      <xdr:rowOff>114300</xdr:rowOff>
    </xdr:to>
    <xdr:sp macro="" textlink="Dashboard!$AF$5">
      <xdr:nvSpPr>
        <xdr:cNvPr id="24" name="TextBox 23">
          <a:extLst>
            <a:ext uri="{FF2B5EF4-FFF2-40B4-BE49-F238E27FC236}">
              <a16:creationId xmlns:a16="http://schemas.microsoft.com/office/drawing/2014/main" id="{FC86A544-DCCF-F345-B86A-845D88B7A878}"/>
            </a:ext>
          </a:extLst>
        </xdr:cNvPr>
        <xdr:cNvSpPr txBox="1"/>
      </xdr:nvSpPr>
      <xdr:spPr>
        <a:xfrm>
          <a:off x="8972550" y="1435100"/>
          <a:ext cx="202565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1614B1EE-2F5E-4810-B587-B43D00958FF9}" type="TxLink">
            <a:rPr lang="en-US" sz="2800" b="1" i="0" u="none" strike="noStrike">
              <a:solidFill>
                <a:srgbClr val="054A19"/>
              </a:solidFill>
              <a:latin typeface="Aptos"/>
            </a:rPr>
            <a:t>415</a:t>
          </a:fld>
          <a:endParaRPr lang="en-IN" sz="2800" b="1">
            <a:solidFill>
              <a:srgbClr val="054A19"/>
            </a:solidFill>
          </a:endParaRPr>
        </a:p>
      </xdr:txBody>
    </xdr:sp>
    <xdr:clientData/>
  </xdr:twoCellAnchor>
  <xdr:twoCellAnchor>
    <xdr:from>
      <xdr:col>16</xdr:col>
      <xdr:colOff>133350</xdr:colOff>
      <xdr:row>7</xdr:row>
      <xdr:rowOff>50800</xdr:rowOff>
    </xdr:from>
    <xdr:to>
      <xdr:col>19</xdr:col>
      <xdr:colOff>501650</xdr:colOff>
      <xdr:row>7</xdr:row>
      <xdr:rowOff>215900</xdr:rowOff>
    </xdr:to>
    <xdr:sp macro="" textlink="">
      <xdr:nvSpPr>
        <xdr:cNvPr id="25" name="TextBox 24">
          <a:extLst>
            <a:ext uri="{FF2B5EF4-FFF2-40B4-BE49-F238E27FC236}">
              <a16:creationId xmlns:a16="http://schemas.microsoft.com/office/drawing/2014/main" id="{E129B3BA-A3FB-00CB-8CAF-73F52A8E839F}"/>
            </a:ext>
          </a:extLst>
        </xdr:cNvPr>
        <xdr:cNvSpPr txBox="1"/>
      </xdr:nvSpPr>
      <xdr:spPr>
        <a:xfrm>
          <a:off x="8972550" y="1803400"/>
          <a:ext cx="202565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Total Transactions</a:t>
          </a:r>
        </a:p>
      </xdr:txBody>
    </xdr:sp>
    <xdr:clientData/>
  </xdr:twoCellAnchor>
  <xdr:twoCellAnchor>
    <xdr:from>
      <xdr:col>20</xdr:col>
      <xdr:colOff>0</xdr:colOff>
      <xdr:row>4</xdr:row>
      <xdr:rowOff>0</xdr:rowOff>
    </xdr:from>
    <xdr:to>
      <xdr:col>25</xdr:col>
      <xdr:colOff>0</xdr:colOff>
      <xdr:row>8</xdr:row>
      <xdr:rowOff>0</xdr:rowOff>
    </xdr:to>
    <xdr:sp macro="" textlink="">
      <xdr:nvSpPr>
        <xdr:cNvPr id="26" name="Rectangle: Rounded Corners 25">
          <a:extLst>
            <a:ext uri="{FF2B5EF4-FFF2-40B4-BE49-F238E27FC236}">
              <a16:creationId xmlns:a16="http://schemas.microsoft.com/office/drawing/2014/main" id="{9B637188-BBB6-953C-7AC3-A981286B5F7F}"/>
            </a:ext>
          </a:extLst>
        </xdr:cNvPr>
        <xdr:cNvSpPr/>
      </xdr:nvSpPr>
      <xdr:spPr>
        <a:xfrm>
          <a:off x="11049000" y="1066800"/>
          <a:ext cx="276225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127000</xdr:colOff>
      <xdr:row>4</xdr:row>
      <xdr:rowOff>203200</xdr:rowOff>
    </xdr:from>
    <xdr:to>
      <xdr:col>21</xdr:col>
      <xdr:colOff>57150</xdr:colOff>
      <xdr:row>7</xdr:row>
      <xdr:rowOff>0</xdr:rowOff>
    </xdr:to>
    <xdr:sp macro="" textlink="">
      <xdr:nvSpPr>
        <xdr:cNvPr id="27" name="Oval 26">
          <a:extLst>
            <a:ext uri="{FF2B5EF4-FFF2-40B4-BE49-F238E27FC236}">
              <a16:creationId xmlns:a16="http://schemas.microsoft.com/office/drawing/2014/main" id="{882627BA-A766-A05F-A2E5-A8930EC06E29}"/>
            </a:ext>
          </a:extLst>
        </xdr:cNvPr>
        <xdr:cNvSpPr/>
      </xdr:nvSpPr>
      <xdr:spPr>
        <a:xfrm>
          <a:off x="11176000" y="1270000"/>
          <a:ext cx="482600" cy="482600"/>
        </a:xfrm>
        <a:prstGeom prst="ellipse">
          <a:avLst/>
        </a:prstGeom>
        <a:gradFill flip="none" rotWithShape="1">
          <a:gsLst>
            <a:gs pos="0">
              <a:srgbClr val="258930"/>
            </a:gs>
            <a:gs pos="100000">
              <a:srgbClr val="085019"/>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O</a:t>
          </a:r>
        </a:p>
      </xdr:txBody>
    </xdr:sp>
    <xdr:clientData/>
  </xdr:twoCellAnchor>
  <xdr:twoCellAnchor>
    <xdr:from>
      <xdr:col>21</xdr:col>
      <xdr:colOff>133350</xdr:colOff>
      <xdr:row>4</xdr:row>
      <xdr:rowOff>101600</xdr:rowOff>
    </xdr:from>
    <xdr:to>
      <xdr:col>24</xdr:col>
      <xdr:colOff>501650</xdr:colOff>
      <xdr:row>5</xdr:row>
      <xdr:rowOff>152400</xdr:rowOff>
    </xdr:to>
    <xdr:sp macro="" textlink="">
      <xdr:nvSpPr>
        <xdr:cNvPr id="28" name="TextBox 27">
          <a:extLst>
            <a:ext uri="{FF2B5EF4-FFF2-40B4-BE49-F238E27FC236}">
              <a16:creationId xmlns:a16="http://schemas.microsoft.com/office/drawing/2014/main" id="{8A18C918-8F06-8FF6-B902-21EB98C9E26B}"/>
            </a:ext>
          </a:extLst>
        </xdr:cNvPr>
        <xdr:cNvSpPr txBox="1"/>
      </xdr:nvSpPr>
      <xdr:spPr>
        <a:xfrm>
          <a:off x="11734800" y="1168400"/>
          <a:ext cx="202565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Approval Rate</a:t>
          </a:r>
        </a:p>
      </xdr:txBody>
    </xdr:sp>
    <xdr:clientData/>
  </xdr:twoCellAnchor>
  <xdr:twoCellAnchor>
    <xdr:from>
      <xdr:col>21</xdr:col>
      <xdr:colOff>133350</xdr:colOff>
      <xdr:row>5</xdr:row>
      <xdr:rowOff>139700</xdr:rowOff>
    </xdr:from>
    <xdr:to>
      <xdr:col>24</xdr:col>
      <xdr:colOff>501650</xdr:colOff>
      <xdr:row>7</xdr:row>
      <xdr:rowOff>114300</xdr:rowOff>
    </xdr:to>
    <xdr:sp macro="" textlink="Dashboard!$AF$6">
      <xdr:nvSpPr>
        <xdr:cNvPr id="29" name="TextBox 28">
          <a:extLst>
            <a:ext uri="{FF2B5EF4-FFF2-40B4-BE49-F238E27FC236}">
              <a16:creationId xmlns:a16="http://schemas.microsoft.com/office/drawing/2014/main" id="{58BA50EF-6774-09D7-2CEB-E50C555552A9}"/>
            </a:ext>
          </a:extLst>
        </xdr:cNvPr>
        <xdr:cNvSpPr txBox="1"/>
      </xdr:nvSpPr>
      <xdr:spPr>
        <a:xfrm>
          <a:off x="11734800" y="1435100"/>
          <a:ext cx="202565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406DC2A1-E17A-447F-9EAA-34A330491BA2}" type="TxLink">
            <a:rPr lang="en-US" sz="2800" b="1" i="0" u="none" strike="noStrike">
              <a:solidFill>
                <a:srgbClr val="054A19"/>
              </a:solidFill>
              <a:latin typeface="Aptos"/>
            </a:rPr>
            <a:t>81.4%</a:t>
          </a:fld>
          <a:endParaRPr lang="en-IN" sz="2800" b="1">
            <a:solidFill>
              <a:srgbClr val="054A19"/>
            </a:solidFill>
          </a:endParaRPr>
        </a:p>
      </xdr:txBody>
    </xdr:sp>
    <xdr:clientData/>
  </xdr:twoCellAnchor>
  <xdr:twoCellAnchor>
    <xdr:from>
      <xdr:col>21</xdr:col>
      <xdr:colOff>133350</xdr:colOff>
      <xdr:row>7</xdr:row>
      <xdr:rowOff>50800</xdr:rowOff>
    </xdr:from>
    <xdr:to>
      <xdr:col>24</xdr:col>
      <xdr:colOff>501650</xdr:colOff>
      <xdr:row>7</xdr:row>
      <xdr:rowOff>215900</xdr:rowOff>
    </xdr:to>
    <xdr:sp macro="" textlink="">
      <xdr:nvSpPr>
        <xdr:cNvPr id="30" name="TextBox 29">
          <a:extLst>
            <a:ext uri="{FF2B5EF4-FFF2-40B4-BE49-F238E27FC236}">
              <a16:creationId xmlns:a16="http://schemas.microsoft.com/office/drawing/2014/main" id="{7DC45312-FFF4-F4FE-270F-182E1A46A996}"/>
            </a:ext>
          </a:extLst>
        </xdr:cNvPr>
        <xdr:cNvSpPr txBox="1"/>
      </xdr:nvSpPr>
      <xdr:spPr>
        <a:xfrm>
          <a:off x="11734800" y="1803400"/>
          <a:ext cx="202565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Approved Items</a:t>
          </a:r>
        </a:p>
      </xdr:txBody>
    </xdr:sp>
    <xdr:clientData/>
  </xdr:twoCellAnchor>
  <xdr:twoCellAnchor>
    <xdr:from>
      <xdr:col>25</xdr:col>
      <xdr:colOff>0</xdr:colOff>
      <xdr:row>4</xdr:row>
      <xdr:rowOff>0</xdr:rowOff>
    </xdr:from>
    <xdr:to>
      <xdr:col>30</xdr:col>
      <xdr:colOff>0</xdr:colOff>
      <xdr:row>8</xdr:row>
      <xdr:rowOff>0</xdr:rowOff>
    </xdr:to>
    <xdr:sp macro="" textlink="">
      <xdr:nvSpPr>
        <xdr:cNvPr id="31" name="Rectangle: Rounded Corners 30">
          <a:extLst>
            <a:ext uri="{FF2B5EF4-FFF2-40B4-BE49-F238E27FC236}">
              <a16:creationId xmlns:a16="http://schemas.microsoft.com/office/drawing/2014/main" id="{7123B3CD-8986-BC07-E969-F2C8523450CB}"/>
            </a:ext>
          </a:extLst>
        </xdr:cNvPr>
        <xdr:cNvSpPr/>
      </xdr:nvSpPr>
      <xdr:spPr>
        <a:xfrm>
          <a:off x="13811250" y="1066800"/>
          <a:ext cx="276225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127000</xdr:colOff>
      <xdr:row>4</xdr:row>
      <xdr:rowOff>203200</xdr:rowOff>
    </xdr:from>
    <xdr:to>
      <xdr:col>26</xdr:col>
      <xdr:colOff>57150</xdr:colOff>
      <xdr:row>7</xdr:row>
      <xdr:rowOff>0</xdr:rowOff>
    </xdr:to>
    <xdr:sp macro="" textlink="">
      <xdr:nvSpPr>
        <xdr:cNvPr id="32" name="Oval 31">
          <a:extLst>
            <a:ext uri="{FF2B5EF4-FFF2-40B4-BE49-F238E27FC236}">
              <a16:creationId xmlns:a16="http://schemas.microsoft.com/office/drawing/2014/main" id="{4A848595-8160-0915-7AE3-3F8572AD7E21}"/>
            </a:ext>
          </a:extLst>
        </xdr:cNvPr>
        <xdr:cNvSpPr/>
      </xdr:nvSpPr>
      <xdr:spPr>
        <a:xfrm>
          <a:off x="13938250" y="1270000"/>
          <a:ext cx="482600" cy="482600"/>
        </a:xfrm>
        <a:prstGeom prst="ellipse">
          <a:avLst/>
        </a:prstGeom>
        <a:gradFill flip="none" rotWithShape="1">
          <a:gsLst>
            <a:gs pos="0">
              <a:srgbClr val="166534"/>
            </a:gs>
            <a:gs pos="100000">
              <a:srgbClr val="085019"/>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26</xdr:col>
      <xdr:colOff>133350</xdr:colOff>
      <xdr:row>4</xdr:row>
      <xdr:rowOff>101600</xdr:rowOff>
    </xdr:from>
    <xdr:to>
      <xdr:col>29</xdr:col>
      <xdr:colOff>501650</xdr:colOff>
      <xdr:row>5</xdr:row>
      <xdr:rowOff>152400</xdr:rowOff>
    </xdr:to>
    <xdr:sp macro="" textlink="">
      <xdr:nvSpPr>
        <xdr:cNvPr id="33" name="TextBox 32">
          <a:extLst>
            <a:ext uri="{FF2B5EF4-FFF2-40B4-BE49-F238E27FC236}">
              <a16:creationId xmlns:a16="http://schemas.microsoft.com/office/drawing/2014/main" id="{52A6ADD9-4E64-3E9A-1DD4-90DC2F12C3DF}"/>
            </a:ext>
          </a:extLst>
        </xdr:cNvPr>
        <xdr:cNvSpPr txBox="1"/>
      </xdr:nvSpPr>
      <xdr:spPr>
        <a:xfrm>
          <a:off x="14497050" y="1168400"/>
          <a:ext cx="202565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800" b="1">
              <a:solidFill>
                <a:srgbClr val="2D412D"/>
              </a:solidFill>
            </a:rPr>
            <a:t>Avg Expense</a:t>
          </a:r>
        </a:p>
      </xdr:txBody>
    </xdr:sp>
    <xdr:clientData/>
  </xdr:twoCellAnchor>
  <xdr:twoCellAnchor>
    <xdr:from>
      <xdr:col>26</xdr:col>
      <xdr:colOff>133350</xdr:colOff>
      <xdr:row>5</xdr:row>
      <xdr:rowOff>139700</xdr:rowOff>
    </xdr:from>
    <xdr:to>
      <xdr:col>29</xdr:col>
      <xdr:colOff>501650</xdr:colOff>
      <xdr:row>7</xdr:row>
      <xdr:rowOff>114300</xdr:rowOff>
    </xdr:to>
    <xdr:sp macro="" textlink="Dashboard!$AF$7">
      <xdr:nvSpPr>
        <xdr:cNvPr id="34" name="TextBox 33">
          <a:extLst>
            <a:ext uri="{FF2B5EF4-FFF2-40B4-BE49-F238E27FC236}">
              <a16:creationId xmlns:a16="http://schemas.microsoft.com/office/drawing/2014/main" id="{D730E637-EB67-3688-B897-2067F815B31B}"/>
            </a:ext>
          </a:extLst>
        </xdr:cNvPr>
        <xdr:cNvSpPr txBox="1"/>
      </xdr:nvSpPr>
      <xdr:spPr>
        <a:xfrm>
          <a:off x="14497050" y="1435100"/>
          <a:ext cx="202565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01BCCB41-4057-48FE-B99E-916CD7C805B9}" type="TxLink">
            <a:rPr lang="en-US" sz="2800" b="1" i="0" u="none" strike="noStrike">
              <a:solidFill>
                <a:srgbClr val="054A19"/>
              </a:solidFill>
              <a:latin typeface="Aptos"/>
            </a:rPr>
            <a:t>44K</a:t>
          </a:fld>
          <a:endParaRPr lang="en-IN" sz="2800" b="1">
            <a:solidFill>
              <a:srgbClr val="054A19"/>
            </a:solidFill>
          </a:endParaRPr>
        </a:p>
      </xdr:txBody>
    </xdr:sp>
    <xdr:clientData/>
  </xdr:twoCellAnchor>
  <xdr:twoCellAnchor>
    <xdr:from>
      <xdr:col>26</xdr:col>
      <xdr:colOff>133350</xdr:colOff>
      <xdr:row>7</xdr:row>
      <xdr:rowOff>50800</xdr:rowOff>
    </xdr:from>
    <xdr:to>
      <xdr:col>29</xdr:col>
      <xdr:colOff>501650</xdr:colOff>
      <xdr:row>7</xdr:row>
      <xdr:rowOff>215900</xdr:rowOff>
    </xdr:to>
    <xdr:sp macro="" textlink="">
      <xdr:nvSpPr>
        <xdr:cNvPr id="35" name="TextBox 34">
          <a:extLst>
            <a:ext uri="{FF2B5EF4-FFF2-40B4-BE49-F238E27FC236}">
              <a16:creationId xmlns:a16="http://schemas.microsoft.com/office/drawing/2014/main" id="{9C9D13F4-DF50-5D25-0E82-DC2D3FDB008A}"/>
            </a:ext>
          </a:extLst>
        </xdr:cNvPr>
        <xdr:cNvSpPr txBox="1"/>
      </xdr:nvSpPr>
      <xdr:spPr>
        <a:xfrm>
          <a:off x="14497050" y="1803400"/>
          <a:ext cx="202565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05F50"/>
              </a:solidFill>
            </a:rPr>
            <a:t>Per Transaction</a:t>
          </a:r>
        </a:p>
      </xdr:txBody>
    </xdr:sp>
    <xdr:clientData/>
  </xdr:twoCellAnchor>
  <xdr:twoCellAnchor>
    <xdr:from>
      <xdr:col>0</xdr:col>
      <xdr:colOff>0</xdr:colOff>
      <xdr:row>9</xdr:row>
      <xdr:rowOff>0</xdr:rowOff>
    </xdr:from>
    <xdr:to>
      <xdr:col>12</xdr:col>
      <xdr:colOff>0</xdr:colOff>
      <xdr:row>18</xdr:row>
      <xdr:rowOff>0</xdr:rowOff>
    </xdr:to>
    <xdr:graphicFrame macro="">
      <xdr:nvGraphicFramePr>
        <xdr:cNvPr id="36" name="Chart 35">
          <a:extLst>
            <a:ext uri="{FF2B5EF4-FFF2-40B4-BE49-F238E27FC236}">
              <a16:creationId xmlns:a16="http://schemas.microsoft.com/office/drawing/2014/main" id="{145BD5A6-0EB9-C99F-6C9B-788D96125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9</xdr:row>
      <xdr:rowOff>0</xdr:rowOff>
    </xdr:from>
    <xdr:to>
      <xdr:col>22</xdr:col>
      <xdr:colOff>0</xdr:colOff>
      <xdr:row>18</xdr:row>
      <xdr:rowOff>0</xdr:rowOff>
    </xdr:to>
    <xdr:graphicFrame macro="">
      <xdr:nvGraphicFramePr>
        <xdr:cNvPr id="37" name="Chart 36">
          <a:extLst>
            <a:ext uri="{FF2B5EF4-FFF2-40B4-BE49-F238E27FC236}">
              <a16:creationId xmlns:a16="http://schemas.microsoft.com/office/drawing/2014/main" id="{EA2F9F4B-EE7B-AD45-C173-24CA016EAC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12</xdr:col>
      <xdr:colOff>0</xdr:colOff>
      <xdr:row>28</xdr:row>
      <xdr:rowOff>0</xdr:rowOff>
    </xdr:to>
    <xdr:graphicFrame macro="">
      <xdr:nvGraphicFramePr>
        <xdr:cNvPr id="38" name="Chart 37">
          <a:extLst>
            <a:ext uri="{FF2B5EF4-FFF2-40B4-BE49-F238E27FC236}">
              <a16:creationId xmlns:a16="http://schemas.microsoft.com/office/drawing/2014/main" id="{CDE330ED-44D6-D2BD-BF1A-DEC3F99A9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18</xdr:row>
      <xdr:rowOff>0</xdr:rowOff>
    </xdr:from>
    <xdr:to>
      <xdr:col>22</xdr:col>
      <xdr:colOff>0</xdr:colOff>
      <xdr:row>28</xdr:row>
      <xdr:rowOff>0</xdr:rowOff>
    </xdr:to>
    <xdr:graphicFrame macro="">
      <xdr:nvGraphicFramePr>
        <xdr:cNvPr id="39" name="Chart 38">
          <a:extLst>
            <a:ext uri="{FF2B5EF4-FFF2-40B4-BE49-F238E27FC236}">
              <a16:creationId xmlns:a16="http://schemas.microsoft.com/office/drawing/2014/main" id="{2D4FAE6C-BFA0-9885-6AD8-D40AF6CBEC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0</xdr:colOff>
      <xdr:row>18</xdr:row>
      <xdr:rowOff>0</xdr:rowOff>
    </xdr:from>
    <xdr:to>
      <xdr:col>30</xdr:col>
      <xdr:colOff>0</xdr:colOff>
      <xdr:row>28</xdr:row>
      <xdr:rowOff>36704</xdr:rowOff>
    </xdr:to>
    <xdr:graphicFrame macro="">
      <xdr:nvGraphicFramePr>
        <xdr:cNvPr id="40" name="Chart 39">
          <a:extLst>
            <a:ext uri="{FF2B5EF4-FFF2-40B4-BE49-F238E27FC236}">
              <a16:creationId xmlns:a16="http://schemas.microsoft.com/office/drawing/2014/main" id="{898FFFBB-44E5-1233-669E-C659A8665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533400</xdr:colOff>
      <xdr:row>9</xdr:row>
      <xdr:rowOff>5443</xdr:rowOff>
    </xdr:from>
    <xdr:to>
      <xdr:col>29</xdr:col>
      <xdr:colOff>526143</xdr:colOff>
      <xdr:row>14</xdr:row>
      <xdr:rowOff>14514</xdr:rowOff>
    </xdr:to>
    <mc:AlternateContent xmlns:mc="http://schemas.openxmlformats.org/markup-compatibility/2006">
      <mc:Choice xmlns:a14="http://schemas.microsoft.com/office/drawing/2010/main" Requires="a14">
        <xdr:graphicFrame macro="">
          <xdr:nvGraphicFramePr>
            <xdr:cNvPr id="41" name="Month">
              <a:extLst>
                <a:ext uri="{FF2B5EF4-FFF2-40B4-BE49-F238E27FC236}">
                  <a16:creationId xmlns:a16="http://schemas.microsoft.com/office/drawing/2014/main" id="{650A3623-FBD5-D8C7-312F-67E8C3B19F6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153900" y="2209800"/>
              <a:ext cx="44196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533400</xdr:colOff>
      <xdr:row>14</xdr:row>
      <xdr:rowOff>14514</xdr:rowOff>
    </xdr:from>
    <xdr:to>
      <xdr:col>29</xdr:col>
      <xdr:colOff>526143</xdr:colOff>
      <xdr:row>18</xdr:row>
      <xdr:rowOff>21771</xdr:rowOff>
    </xdr:to>
    <mc:AlternateContent xmlns:mc="http://schemas.openxmlformats.org/markup-compatibility/2006">
      <mc:Choice xmlns:a14="http://schemas.microsoft.com/office/drawing/2010/main" Requires="a14">
        <xdr:graphicFrame macro="">
          <xdr:nvGraphicFramePr>
            <xdr:cNvPr id="42" name="Department">
              <a:extLst>
                <a:ext uri="{FF2B5EF4-FFF2-40B4-BE49-F238E27FC236}">
                  <a16:creationId xmlns:a16="http://schemas.microsoft.com/office/drawing/2014/main" id="{305AE1C2-C304-F22F-2E9D-0D89485F904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153900" y="3352800"/>
              <a:ext cx="44196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95250</xdr:colOff>
      <xdr:row>3</xdr:row>
      <xdr:rowOff>127000</xdr:rowOff>
    </xdr:from>
    <xdr:to>
      <xdr:col>13</xdr:col>
      <xdr:colOff>533400</xdr:colOff>
      <xdr:row>5</xdr:row>
      <xdr:rowOff>165100</xdr:rowOff>
    </xdr:to>
    <xdr:sp macro="[0]!BuildExpensesDashboard" textlink="">
      <xdr:nvSpPr>
        <xdr:cNvPr id="2" name="TextBox 1">
          <a:extLst>
            <a:ext uri="{FF2B5EF4-FFF2-40B4-BE49-F238E27FC236}">
              <a16:creationId xmlns:a16="http://schemas.microsoft.com/office/drawing/2014/main" id="{0CCECEE4-816B-8CCE-8891-1DD96A633D6F}"/>
            </a:ext>
          </a:extLst>
        </xdr:cNvPr>
        <xdr:cNvSpPr txBox="1"/>
      </xdr:nvSpPr>
      <xdr:spPr>
        <a:xfrm>
          <a:off x="8826500" y="679450"/>
          <a:ext cx="1657350" cy="406400"/>
        </a:xfrm>
        <a:prstGeom prst="rect">
          <a:avLst/>
        </a:prstGeom>
        <a:solidFill>
          <a:schemeClr val="accent1">
            <a:lumMod val="50000"/>
          </a:schemeClr>
        </a:solidFill>
        <a:ln w="9525" cap="rnd" cmpd="sng">
          <a:solidFill>
            <a:schemeClr val="tx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rPr>
            <a:t>Build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 Krishna Tiwari" refreshedDate="46180.964496643515" createdVersion="8" refreshedVersion="8" minRefreshableVersion="3" recordCount="415" xr:uid="{FF3135BE-7824-4E56-B510-0943947C03B6}">
  <cacheSource type="worksheet">
    <worksheetSource ref="A1:J416" sheet="Data"/>
  </cacheSource>
  <cacheFields count="10">
    <cacheField name="Expense ID" numFmtId="0">
      <sharedItems/>
    </cacheField>
    <cacheField name="Date" numFmtId="164">
      <sharedItems containsSemiMixedTypes="0" containsNonDate="0" containsDate="1" containsString="0" minDate="2025-01-03T00:00:00" maxDate="2025-12-29T00:00:00"/>
    </cacheField>
    <cacheField name="Department" numFmtId="0">
      <sharedItems count="6">
        <s v="Engineering"/>
        <s v="Marketing"/>
        <s v="Sales"/>
        <s v="HR"/>
        <s v="Finance"/>
        <s v="Operations"/>
      </sharedItems>
    </cacheField>
    <cacheField name="Category" numFmtId="0">
      <sharedItems count="8">
        <s v="Software"/>
        <s v="Marketing"/>
        <s v="Office Supplies"/>
        <s v="Consulting"/>
        <s v="Equipment"/>
        <s v="Utilities"/>
        <s v="Travel"/>
        <s v="Training"/>
      </sharedItems>
    </cacheField>
    <cacheField name="Amount (INR)" numFmtId="165">
      <sharedItems containsSemiMixedTypes="0" containsString="0" containsNumber="1" containsInteger="1" minValue="545" maxValue="195132"/>
    </cacheField>
    <cacheField name="Payment Method" numFmtId="0">
      <sharedItems count="4">
        <s v="Cash"/>
        <s v="Credit Card"/>
        <s v="Cheque"/>
        <s v="Bank Transfer"/>
      </sharedItems>
    </cacheField>
    <cacheField name="Approved" numFmtId="0">
      <sharedItems count="2">
        <s v="Yes"/>
        <s v="No"/>
      </sharedItems>
    </cacheField>
    <cacheField name="Budget Allocated" numFmtId="165">
      <sharedItems containsSemiMixedTypes="0" containsString="0" containsNumber="1" containsInteger="1" minValue="689" maxValue="253336"/>
    </cacheField>
    <cacheField name="Budget Remaining" numFmtId="165">
      <sharedItems containsSemiMixedTypes="0" containsString="0" containsNumber="1" containsInteger="1" minValue="0" maxValue="77496"/>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477568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5">
  <r>
    <s v="EXP-5001"/>
    <d v="2025-01-25T00:00:00"/>
    <x v="0"/>
    <x v="0"/>
    <n v="7099"/>
    <x v="0"/>
    <x v="0"/>
    <n v="8386"/>
    <n v="1287"/>
    <x v="0"/>
  </r>
  <r>
    <s v="EXP-5002"/>
    <d v="2025-01-20T00:00:00"/>
    <x v="0"/>
    <x v="1"/>
    <n v="37909"/>
    <x v="1"/>
    <x v="0"/>
    <n v="39147"/>
    <n v="1238"/>
    <x v="0"/>
  </r>
  <r>
    <s v="EXP-5003"/>
    <d v="2025-01-08T00:00:00"/>
    <x v="0"/>
    <x v="2"/>
    <n v="5729"/>
    <x v="0"/>
    <x v="0"/>
    <n v="8391"/>
    <n v="2662"/>
    <x v="0"/>
  </r>
  <r>
    <s v="EXP-5004"/>
    <d v="2025-01-03T00:00:00"/>
    <x v="1"/>
    <x v="3"/>
    <n v="21974"/>
    <x v="0"/>
    <x v="0"/>
    <n v="22502"/>
    <n v="528"/>
    <x v="0"/>
  </r>
  <r>
    <s v="EXP-5005"/>
    <d v="2025-01-25T00:00:00"/>
    <x v="1"/>
    <x v="4"/>
    <n v="70564"/>
    <x v="2"/>
    <x v="0"/>
    <n v="77440"/>
    <n v="6876"/>
    <x v="0"/>
  </r>
  <r>
    <s v="EXP-5006"/>
    <d v="2025-01-24T00:00:00"/>
    <x v="1"/>
    <x v="0"/>
    <n v="23713"/>
    <x v="1"/>
    <x v="1"/>
    <n v="28542"/>
    <n v="4829"/>
    <x v="0"/>
  </r>
  <r>
    <s v="EXP-5007"/>
    <d v="2025-01-28T00:00:00"/>
    <x v="2"/>
    <x v="4"/>
    <n v="67515"/>
    <x v="1"/>
    <x v="0"/>
    <n v="87309"/>
    <n v="19794"/>
    <x v="0"/>
  </r>
  <r>
    <s v="EXP-5008"/>
    <d v="2025-01-03T00:00:00"/>
    <x v="2"/>
    <x v="3"/>
    <n v="30644"/>
    <x v="3"/>
    <x v="0"/>
    <n v="44207"/>
    <n v="13563"/>
    <x v="0"/>
  </r>
  <r>
    <s v="EXP-5009"/>
    <d v="2025-01-11T00:00:00"/>
    <x v="2"/>
    <x v="5"/>
    <n v="8331"/>
    <x v="0"/>
    <x v="0"/>
    <n v="11602"/>
    <n v="3271"/>
    <x v="0"/>
  </r>
  <r>
    <s v="EXP-5010"/>
    <d v="2025-01-20T00:00:00"/>
    <x v="2"/>
    <x v="6"/>
    <n v="55807"/>
    <x v="1"/>
    <x v="0"/>
    <n v="62479"/>
    <n v="6672"/>
    <x v="0"/>
  </r>
  <r>
    <s v="EXP-5011"/>
    <d v="2025-01-05T00:00:00"/>
    <x v="2"/>
    <x v="3"/>
    <n v="35534"/>
    <x v="0"/>
    <x v="1"/>
    <n v="49832"/>
    <n v="14298"/>
    <x v="0"/>
  </r>
  <r>
    <s v="EXP-5012"/>
    <d v="2025-01-10T00:00:00"/>
    <x v="2"/>
    <x v="0"/>
    <n v="31806"/>
    <x v="3"/>
    <x v="0"/>
    <n v="36795"/>
    <n v="4989"/>
    <x v="0"/>
  </r>
  <r>
    <s v="EXP-5013"/>
    <d v="2025-01-06T00:00:00"/>
    <x v="2"/>
    <x v="5"/>
    <n v="6789"/>
    <x v="2"/>
    <x v="0"/>
    <n v="7092"/>
    <n v="303"/>
    <x v="0"/>
  </r>
  <r>
    <s v="EXP-5014"/>
    <d v="2025-01-16T00:00:00"/>
    <x v="3"/>
    <x v="1"/>
    <n v="42497"/>
    <x v="1"/>
    <x v="0"/>
    <n v="63144"/>
    <n v="20647"/>
    <x v="0"/>
  </r>
  <r>
    <s v="EXP-5015"/>
    <d v="2025-01-22T00:00:00"/>
    <x v="3"/>
    <x v="4"/>
    <n v="117328"/>
    <x v="3"/>
    <x v="0"/>
    <n v="153681"/>
    <n v="36353"/>
    <x v="0"/>
  </r>
  <r>
    <s v="EXP-5016"/>
    <d v="2025-01-14T00:00:00"/>
    <x v="3"/>
    <x v="5"/>
    <n v="7122"/>
    <x v="2"/>
    <x v="0"/>
    <n v="7419"/>
    <n v="297"/>
    <x v="0"/>
  </r>
  <r>
    <s v="EXP-5017"/>
    <d v="2025-01-18T00:00:00"/>
    <x v="3"/>
    <x v="6"/>
    <n v="37088"/>
    <x v="1"/>
    <x v="0"/>
    <n v="50064"/>
    <n v="12976"/>
    <x v="0"/>
  </r>
  <r>
    <s v="EXP-5018"/>
    <d v="2025-01-28T00:00:00"/>
    <x v="3"/>
    <x v="4"/>
    <n v="25736"/>
    <x v="1"/>
    <x v="0"/>
    <n v="33072"/>
    <n v="7336"/>
    <x v="0"/>
  </r>
  <r>
    <s v="EXP-5019"/>
    <d v="2025-01-21T00:00:00"/>
    <x v="3"/>
    <x v="0"/>
    <n v="24867"/>
    <x v="2"/>
    <x v="0"/>
    <n v="30659"/>
    <n v="5792"/>
    <x v="0"/>
  </r>
  <r>
    <s v="EXP-5020"/>
    <d v="2025-01-07T00:00:00"/>
    <x v="4"/>
    <x v="0"/>
    <n v="28014"/>
    <x v="2"/>
    <x v="0"/>
    <n v="38774"/>
    <n v="10760"/>
    <x v="0"/>
  </r>
  <r>
    <s v="EXP-5021"/>
    <d v="2025-01-23T00:00:00"/>
    <x v="4"/>
    <x v="5"/>
    <n v="10901"/>
    <x v="2"/>
    <x v="0"/>
    <n v="13552"/>
    <n v="2651"/>
    <x v="0"/>
  </r>
  <r>
    <s v="EXP-5022"/>
    <d v="2025-01-16T00:00:00"/>
    <x v="4"/>
    <x v="6"/>
    <n v="76444"/>
    <x v="3"/>
    <x v="0"/>
    <n v="82397"/>
    <n v="5953"/>
    <x v="0"/>
  </r>
  <r>
    <s v="EXP-5023"/>
    <d v="2025-01-26T00:00:00"/>
    <x v="4"/>
    <x v="6"/>
    <n v="54844"/>
    <x v="0"/>
    <x v="0"/>
    <n v="56555"/>
    <n v="1711"/>
    <x v="0"/>
  </r>
  <r>
    <s v="EXP-5024"/>
    <d v="2025-01-25T00:00:00"/>
    <x v="4"/>
    <x v="6"/>
    <n v="32720"/>
    <x v="2"/>
    <x v="0"/>
    <n v="46921"/>
    <n v="14201"/>
    <x v="0"/>
  </r>
  <r>
    <s v="EXP-5025"/>
    <d v="2025-01-09T00:00:00"/>
    <x v="4"/>
    <x v="1"/>
    <n v="31912"/>
    <x v="2"/>
    <x v="0"/>
    <n v="34174"/>
    <n v="2262"/>
    <x v="0"/>
  </r>
  <r>
    <s v="EXP-5026"/>
    <d v="2025-01-09T00:00:00"/>
    <x v="4"/>
    <x v="4"/>
    <n v="73783"/>
    <x v="3"/>
    <x v="0"/>
    <n v="81682"/>
    <n v="7899"/>
    <x v="0"/>
  </r>
  <r>
    <s v="EXP-5027"/>
    <d v="2025-01-07T00:00:00"/>
    <x v="4"/>
    <x v="5"/>
    <n v="13340"/>
    <x v="0"/>
    <x v="0"/>
    <n v="15320"/>
    <n v="1980"/>
    <x v="0"/>
  </r>
  <r>
    <s v="EXP-5028"/>
    <d v="2025-01-23T00:00:00"/>
    <x v="5"/>
    <x v="1"/>
    <n v="124500"/>
    <x v="2"/>
    <x v="0"/>
    <n v="146580"/>
    <n v="22080"/>
    <x v="0"/>
  </r>
  <r>
    <s v="EXP-5029"/>
    <d v="2025-01-19T00:00:00"/>
    <x v="5"/>
    <x v="2"/>
    <n v="1137"/>
    <x v="3"/>
    <x v="0"/>
    <n v="1548"/>
    <n v="411"/>
    <x v="0"/>
  </r>
  <r>
    <s v="EXP-5030"/>
    <d v="2025-01-16T00:00:00"/>
    <x v="5"/>
    <x v="1"/>
    <n v="130234"/>
    <x v="0"/>
    <x v="0"/>
    <n v="191042"/>
    <n v="60808"/>
    <x v="0"/>
  </r>
  <r>
    <s v="EXP-5031"/>
    <d v="2025-01-28T00:00:00"/>
    <x v="5"/>
    <x v="6"/>
    <n v="64055"/>
    <x v="3"/>
    <x v="0"/>
    <n v="94267"/>
    <n v="30212"/>
    <x v="0"/>
  </r>
  <r>
    <s v="EXP-5032"/>
    <d v="2025-01-07T00:00:00"/>
    <x v="5"/>
    <x v="6"/>
    <n v="33655"/>
    <x v="2"/>
    <x v="1"/>
    <n v="46203"/>
    <n v="12548"/>
    <x v="0"/>
  </r>
  <r>
    <s v="EXP-5033"/>
    <d v="2025-01-07T00:00:00"/>
    <x v="5"/>
    <x v="4"/>
    <n v="33329"/>
    <x v="1"/>
    <x v="0"/>
    <n v="39130"/>
    <n v="5801"/>
    <x v="0"/>
  </r>
  <r>
    <s v="EXP-5034"/>
    <d v="2025-01-28T00:00:00"/>
    <x v="5"/>
    <x v="7"/>
    <n v="13058"/>
    <x v="1"/>
    <x v="0"/>
    <n v="16336"/>
    <n v="3278"/>
    <x v="0"/>
  </r>
  <r>
    <s v="EXP-5035"/>
    <d v="2025-02-14T00:00:00"/>
    <x v="0"/>
    <x v="5"/>
    <n v="6770"/>
    <x v="0"/>
    <x v="0"/>
    <n v="9573"/>
    <n v="2803"/>
    <x v="1"/>
  </r>
  <r>
    <s v="EXP-5036"/>
    <d v="2025-02-20T00:00:00"/>
    <x v="0"/>
    <x v="4"/>
    <n v="53905"/>
    <x v="3"/>
    <x v="1"/>
    <n v="58673"/>
    <n v="4768"/>
    <x v="1"/>
  </r>
  <r>
    <s v="EXP-5037"/>
    <d v="2025-02-14T00:00:00"/>
    <x v="0"/>
    <x v="7"/>
    <n v="24613"/>
    <x v="0"/>
    <x v="1"/>
    <n v="33087"/>
    <n v="8474"/>
    <x v="1"/>
  </r>
  <r>
    <s v="EXP-5038"/>
    <d v="2025-02-20T00:00:00"/>
    <x v="0"/>
    <x v="0"/>
    <n v="7874"/>
    <x v="2"/>
    <x v="0"/>
    <n v="10432"/>
    <n v="2558"/>
    <x v="1"/>
  </r>
  <r>
    <s v="EXP-5039"/>
    <d v="2025-02-19T00:00:00"/>
    <x v="0"/>
    <x v="0"/>
    <n v="43518"/>
    <x v="1"/>
    <x v="0"/>
    <n v="53181"/>
    <n v="9663"/>
    <x v="1"/>
  </r>
  <r>
    <s v="EXP-5040"/>
    <d v="2025-02-13T00:00:00"/>
    <x v="0"/>
    <x v="2"/>
    <n v="6864"/>
    <x v="1"/>
    <x v="0"/>
    <n v="8424"/>
    <n v="1560"/>
    <x v="1"/>
  </r>
  <r>
    <s v="EXP-5041"/>
    <d v="2025-02-21T00:00:00"/>
    <x v="1"/>
    <x v="3"/>
    <n v="118248"/>
    <x v="2"/>
    <x v="0"/>
    <n v="171932"/>
    <n v="53684"/>
    <x v="1"/>
  </r>
  <r>
    <s v="EXP-5042"/>
    <d v="2025-02-09T00:00:00"/>
    <x v="1"/>
    <x v="7"/>
    <n v="11769"/>
    <x v="0"/>
    <x v="0"/>
    <n v="16945"/>
    <n v="5176"/>
    <x v="1"/>
  </r>
  <r>
    <s v="EXP-5043"/>
    <d v="2025-02-05T00:00:00"/>
    <x v="1"/>
    <x v="4"/>
    <n v="9282"/>
    <x v="0"/>
    <x v="1"/>
    <n v="9354"/>
    <n v="72"/>
    <x v="1"/>
  </r>
  <r>
    <s v="EXP-5044"/>
    <d v="2025-02-14T00:00:00"/>
    <x v="1"/>
    <x v="5"/>
    <n v="3792"/>
    <x v="3"/>
    <x v="1"/>
    <n v="5611"/>
    <n v="1819"/>
    <x v="1"/>
  </r>
  <r>
    <s v="EXP-5045"/>
    <d v="2025-02-19T00:00:00"/>
    <x v="1"/>
    <x v="4"/>
    <n v="113599"/>
    <x v="2"/>
    <x v="0"/>
    <n v="116529"/>
    <n v="2930"/>
    <x v="1"/>
  </r>
  <r>
    <s v="EXP-5046"/>
    <d v="2025-02-08T00:00:00"/>
    <x v="2"/>
    <x v="5"/>
    <n v="9475"/>
    <x v="1"/>
    <x v="0"/>
    <n v="10226"/>
    <n v="751"/>
    <x v="1"/>
  </r>
  <r>
    <s v="EXP-5047"/>
    <d v="2025-02-09T00:00:00"/>
    <x v="2"/>
    <x v="4"/>
    <n v="115497"/>
    <x v="3"/>
    <x v="0"/>
    <n v="159511"/>
    <n v="44014"/>
    <x v="1"/>
  </r>
  <r>
    <s v="EXP-5048"/>
    <d v="2025-02-21T00:00:00"/>
    <x v="2"/>
    <x v="0"/>
    <n v="3680"/>
    <x v="3"/>
    <x v="0"/>
    <n v="4485"/>
    <n v="805"/>
    <x v="1"/>
  </r>
  <r>
    <s v="EXP-5049"/>
    <d v="2025-02-24T00:00:00"/>
    <x v="2"/>
    <x v="0"/>
    <n v="39473"/>
    <x v="3"/>
    <x v="0"/>
    <n v="47020"/>
    <n v="7547"/>
    <x v="1"/>
  </r>
  <r>
    <s v="EXP-5050"/>
    <d v="2025-02-10T00:00:00"/>
    <x v="2"/>
    <x v="2"/>
    <n v="5845"/>
    <x v="3"/>
    <x v="1"/>
    <n v="8469"/>
    <n v="2624"/>
    <x v="1"/>
  </r>
  <r>
    <s v="EXP-5051"/>
    <d v="2025-02-03T00:00:00"/>
    <x v="2"/>
    <x v="7"/>
    <n v="24602"/>
    <x v="3"/>
    <x v="0"/>
    <n v="25239"/>
    <n v="637"/>
    <x v="1"/>
  </r>
  <r>
    <s v="EXP-5052"/>
    <d v="2025-02-05T00:00:00"/>
    <x v="3"/>
    <x v="3"/>
    <n v="166210"/>
    <x v="0"/>
    <x v="0"/>
    <n v="176406"/>
    <n v="10196"/>
    <x v="1"/>
  </r>
  <r>
    <s v="EXP-5053"/>
    <d v="2025-02-27T00:00:00"/>
    <x v="3"/>
    <x v="0"/>
    <n v="34390"/>
    <x v="3"/>
    <x v="0"/>
    <n v="48913"/>
    <n v="14523"/>
    <x v="1"/>
  </r>
  <r>
    <s v="EXP-5054"/>
    <d v="2025-02-21T00:00:00"/>
    <x v="3"/>
    <x v="6"/>
    <n v="59230"/>
    <x v="1"/>
    <x v="0"/>
    <n v="61409"/>
    <n v="2179"/>
    <x v="1"/>
  </r>
  <r>
    <s v="EXP-5055"/>
    <d v="2025-02-01T00:00:00"/>
    <x v="4"/>
    <x v="3"/>
    <n v="52232"/>
    <x v="3"/>
    <x v="1"/>
    <n v="56928"/>
    <n v="4696"/>
    <x v="1"/>
  </r>
  <r>
    <s v="EXP-5056"/>
    <d v="2025-02-16T00:00:00"/>
    <x v="4"/>
    <x v="0"/>
    <n v="24466"/>
    <x v="1"/>
    <x v="0"/>
    <n v="36622"/>
    <n v="12156"/>
    <x v="1"/>
  </r>
  <r>
    <s v="EXP-5057"/>
    <d v="2025-02-18T00:00:00"/>
    <x v="4"/>
    <x v="0"/>
    <n v="14638"/>
    <x v="1"/>
    <x v="1"/>
    <n v="19074"/>
    <n v="4436"/>
    <x v="1"/>
  </r>
  <r>
    <s v="EXP-5058"/>
    <d v="2025-02-07T00:00:00"/>
    <x v="4"/>
    <x v="2"/>
    <n v="7601"/>
    <x v="1"/>
    <x v="0"/>
    <n v="8988"/>
    <n v="1387"/>
    <x v="1"/>
  </r>
  <r>
    <s v="EXP-5059"/>
    <d v="2025-02-05T00:00:00"/>
    <x v="4"/>
    <x v="0"/>
    <n v="49693"/>
    <x v="0"/>
    <x v="0"/>
    <n v="66877"/>
    <n v="17184"/>
    <x v="1"/>
  </r>
  <r>
    <s v="EXP-5060"/>
    <d v="2025-02-10T00:00:00"/>
    <x v="5"/>
    <x v="5"/>
    <n v="12601"/>
    <x v="2"/>
    <x v="0"/>
    <n v="16076"/>
    <n v="3475"/>
    <x v="1"/>
  </r>
  <r>
    <s v="EXP-5061"/>
    <d v="2025-02-07T00:00:00"/>
    <x v="5"/>
    <x v="4"/>
    <n v="30304"/>
    <x v="0"/>
    <x v="0"/>
    <n v="34093"/>
    <n v="3789"/>
    <x v="1"/>
  </r>
  <r>
    <s v="EXP-5062"/>
    <d v="2025-02-24T00:00:00"/>
    <x v="5"/>
    <x v="7"/>
    <n v="8428"/>
    <x v="2"/>
    <x v="0"/>
    <n v="11774"/>
    <n v="3346"/>
    <x v="1"/>
  </r>
  <r>
    <s v="EXP-5063"/>
    <d v="2025-03-04T00:00:00"/>
    <x v="0"/>
    <x v="7"/>
    <n v="29735"/>
    <x v="2"/>
    <x v="0"/>
    <n v="34474"/>
    <n v="4739"/>
    <x v="2"/>
  </r>
  <r>
    <s v="EXP-5064"/>
    <d v="2025-03-27T00:00:00"/>
    <x v="0"/>
    <x v="5"/>
    <n v="7126"/>
    <x v="1"/>
    <x v="0"/>
    <n v="10325"/>
    <n v="3199"/>
    <x v="2"/>
  </r>
  <r>
    <s v="EXP-5065"/>
    <d v="2025-03-20T00:00:00"/>
    <x v="0"/>
    <x v="7"/>
    <n v="22230"/>
    <x v="0"/>
    <x v="0"/>
    <n v="26785"/>
    <n v="4555"/>
    <x v="2"/>
  </r>
  <r>
    <s v="EXP-5066"/>
    <d v="2025-03-06T00:00:00"/>
    <x v="0"/>
    <x v="1"/>
    <n v="94588"/>
    <x v="0"/>
    <x v="0"/>
    <n v="114895"/>
    <n v="20307"/>
    <x v="2"/>
  </r>
  <r>
    <s v="EXP-5067"/>
    <d v="2025-03-11T00:00:00"/>
    <x v="0"/>
    <x v="5"/>
    <n v="7094"/>
    <x v="1"/>
    <x v="0"/>
    <n v="7608"/>
    <n v="514"/>
    <x v="2"/>
  </r>
  <r>
    <s v="EXP-5068"/>
    <d v="2025-03-26T00:00:00"/>
    <x v="0"/>
    <x v="5"/>
    <n v="4502"/>
    <x v="0"/>
    <x v="0"/>
    <n v="5550"/>
    <n v="1048"/>
    <x v="2"/>
  </r>
  <r>
    <s v="EXP-5069"/>
    <d v="2025-03-17T00:00:00"/>
    <x v="0"/>
    <x v="4"/>
    <n v="42173"/>
    <x v="3"/>
    <x v="0"/>
    <n v="54863"/>
    <n v="12690"/>
    <x v="2"/>
  </r>
  <r>
    <s v="EXP-5070"/>
    <d v="2025-03-14T00:00:00"/>
    <x v="1"/>
    <x v="0"/>
    <n v="39614"/>
    <x v="2"/>
    <x v="0"/>
    <n v="57295"/>
    <n v="17681"/>
    <x v="2"/>
  </r>
  <r>
    <s v="EXP-5071"/>
    <d v="2025-03-16T00:00:00"/>
    <x v="1"/>
    <x v="2"/>
    <n v="906"/>
    <x v="1"/>
    <x v="0"/>
    <n v="1270"/>
    <n v="364"/>
    <x v="2"/>
  </r>
  <r>
    <s v="EXP-5072"/>
    <d v="2025-03-11T00:00:00"/>
    <x v="1"/>
    <x v="0"/>
    <n v="31673"/>
    <x v="2"/>
    <x v="0"/>
    <n v="34383"/>
    <n v="2710"/>
    <x v="2"/>
  </r>
  <r>
    <s v="EXP-5073"/>
    <d v="2025-03-28T00:00:00"/>
    <x v="1"/>
    <x v="7"/>
    <n v="3584"/>
    <x v="1"/>
    <x v="0"/>
    <n v="4737"/>
    <n v="1153"/>
    <x v="2"/>
  </r>
  <r>
    <s v="EXP-5074"/>
    <d v="2025-03-17T00:00:00"/>
    <x v="1"/>
    <x v="4"/>
    <n v="9850"/>
    <x v="1"/>
    <x v="0"/>
    <n v="14262"/>
    <n v="4412"/>
    <x v="2"/>
  </r>
  <r>
    <s v="EXP-5075"/>
    <d v="2025-03-14T00:00:00"/>
    <x v="1"/>
    <x v="3"/>
    <n v="34935"/>
    <x v="0"/>
    <x v="0"/>
    <n v="49430"/>
    <n v="14495"/>
    <x v="2"/>
  </r>
  <r>
    <s v="EXP-5076"/>
    <d v="2025-03-11T00:00:00"/>
    <x v="1"/>
    <x v="4"/>
    <n v="15455"/>
    <x v="2"/>
    <x v="1"/>
    <n v="19755"/>
    <n v="4300"/>
    <x v="2"/>
  </r>
  <r>
    <s v="EXP-5077"/>
    <d v="2025-03-16T00:00:00"/>
    <x v="1"/>
    <x v="7"/>
    <n v="25821"/>
    <x v="1"/>
    <x v="0"/>
    <n v="38525"/>
    <n v="12704"/>
    <x v="2"/>
  </r>
  <r>
    <s v="EXP-5078"/>
    <d v="2025-03-05T00:00:00"/>
    <x v="2"/>
    <x v="2"/>
    <n v="891"/>
    <x v="1"/>
    <x v="0"/>
    <n v="1259"/>
    <n v="368"/>
    <x v="2"/>
  </r>
  <r>
    <s v="EXP-5079"/>
    <d v="2025-03-26T00:00:00"/>
    <x v="2"/>
    <x v="1"/>
    <n v="33073"/>
    <x v="0"/>
    <x v="1"/>
    <n v="36234"/>
    <n v="3161"/>
    <x v="2"/>
  </r>
  <r>
    <s v="EXP-5080"/>
    <d v="2025-03-02T00:00:00"/>
    <x v="2"/>
    <x v="7"/>
    <n v="28721"/>
    <x v="0"/>
    <x v="0"/>
    <n v="29340"/>
    <n v="619"/>
    <x v="2"/>
  </r>
  <r>
    <s v="EXP-5081"/>
    <d v="2025-03-05T00:00:00"/>
    <x v="3"/>
    <x v="4"/>
    <n v="40377"/>
    <x v="2"/>
    <x v="0"/>
    <n v="54482"/>
    <n v="14105"/>
    <x v="2"/>
  </r>
  <r>
    <s v="EXP-5082"/>
    <d v="2025-03-22T00:00:00"/>
    <x v="3"/>
    <x v="1"/>
    <n v="118342"/>
    <x v="1"/>
    <x v="1"/>
    <n v="156028"/>
    <n v="37686"/>
    <x v="2"/>
  </r>
  <r>
    <s v="EXP-5083"/>
    <d v="2025-03-09T00:00:00"/>
    <x v="3"/>
    <x v="3"/>
    <n v="183347"/>
    <x v="0"/>
    <x v="0"/>
    <n v="228277"/>
    <n v="44930"/>
    <x v="2"/>
  </r>
  <r>
    <s v="EXP-5084"/>
    <d v="2025-03-03T00:00:00"/>
    <x v="3"/>
    <x v="7"/>
    <n v="28106"/>
    <x v="0"/>
    <x v="1"/>
    <n v="32269"/>
    <n v="4163"/>
    <x v="2"/>
  </r>
  <r>
    <s v="EXP-5085"/>
    <d v="2025-03-16T00:00:00"/>
    <x v="3"/>
    <x v="2"/>
    <n v="6193"/>
    <x v="1"/>
    <x v="0"/>
    <n v="6435"/>
    <n v="242"/>
    <x v="2"/>
  </r>
  <r>
    <s v="EXP-5086"/>
    <d v="2025-03-07T00:00:00"/>
    <x v="3"/>
    <x v="2"/>
    <n v="4335"/>
    <x v="2"/>
    <x v="0"/>
    <n v="6109"/>
    <n v="1774"/>
    <x v="2"/>
  </r>
  <r>
    <s v="EXP-5087"/>
    <d v="2025-03-23T00:00:00"/>
    <x v="3"/>
    <x v="5"/>
    <n v="13459"/>
    <x v="2"/>
    <x v="0"/>
    <n v="19814"/>
    <n v="6355"/>
    <x v="2"/>
  </r>
  <r>
    <s v="EXP-5088"/>
    <d v="2025-03-13T00:00:00"/>
    <x v="3"/>
    <x v="1"/>
    <n v="67353"/>
    <x v="2"/>
    <x v="1"/>
    <n v="98224"/>
    <n v="30871"/>
    <x v="2"/>
  </r>
  <r>
    <s v="EXP-5089"/>
    <d v="2025-03-06T00:00:00"/>
    <x v="4"/>
    <x v="2"/>
    <n v="1062"/>
    <x v="0"/>
    <x v="1"/>
    <n v="1210"/>
    <n v="148"/>
    <x v="2"/>
  </r>
  <r>
    <s v="EXP-5090"/>
    <d v="2025-03-08T00:00:00"/>
    <x v="4"/>
    <x v="3"/>
    <n v="38094"/>
    <x v="1"/>
    <x v="0"/>
    <n v="52285"/>
    <n v="14191"/>
    <x v="2"/>
  </r>
  <r>
    <s v="EXP-5091"/>
    <d v="2025-03-15T00:00:00"/>
    <x v="4"/>
    <x v="6"/>
    <n v="67421"/>
    <x v="0"/>
    <x v="0"/>
    <n v="89733"/>
    <n v="22312"/>
    <x v="2"/>
  </r>
  <r>
    <s v="EXP-5092"/>
    <d v="2025-03-05T00:00:00"/>
    <x v="4"/>
    <x v="0"/>
    <n v="25227"/>
    <x v="2"/>
    <x v="1"/>
    <n v="30669"/>
    <n v="5442"/>
    <x v="2"/>
  </r>
  <r>
    <s v="EXP-5093"/>
    <d v="2025-03-12T00:00:00"/>
    <x v="4"/>
    <x v="5"/>
    <n v="1870"/>
    <x v="1"/>
    <x v="0"/>
    <n v="2283"/>
    <n v="413"/>
    <x v="2"/>
  </r>
  <r>
    <s v="EXP-5094"/>
    <d v="2025-03-06T00:00:00"/>
    <x v="4"/>
    <x v="2"/>
    <n v="2908"/>
    <x v="0"/>
    <x v="1"/>
    <n v="3183"/>
    <n v="275"/>
    <x v="2"/>
  </r>
  <r>
    <s v="EXP-5095"/>
    <d v="2025-03-21T00:00:00"/>
    <x v="5"/>
    <x v="4"/>
    <n v="19311"/>
    <x v="3"/>
    <x v="0"/>
    <n v="25888"/>
    <n v="6577"/>
    <x v="2"/>
  </r>
  <r>
    <s v="EXP-5096"/>
    <d v="2025-03-08T00:00:00"/>
    <x v="5"/>
    <x v="6"/>
    <n v="9677"/>
    <x v="1"/>
    <x v="1"/>
    <n v="12460"/>
    <n v="2783"/>
    <x v="2"/>
  </r>
  <r>
    <s v="EXP-5097"/>
    <d v="2025-03-23T00:00:00"/>
    <x v="5"/>
    <x v="2"/>
    <n v="7730"/>
    <x v="2"/>
    <x v="0"/>
    <n v="10127"/>
    <n v="2397"/>
    <x v="2"/>
  </r>
  <r>
    <s v="EXP-5098"/>
    <d v="2025-03-23T00:00:00"/>
    <x v="5"/>
    <x v="2"/>
    <n v="6512"/>
    <x v="0"/>
    <x v="0"/>
    <n v="9195"/>
    <n v="2683"/>
    <x v="2"/>
  </r>
  <r>
    <s v="EXP-5099"/>
    <d v="2025-03-23T00:00:00"/>
    <x v="5"/>
    <x v="2"/>
    <n v="3347"/>
    <x v="0"/>
    <x v="0"/>
    <n v="4413"/>
    <n v="1066"/>
    <x v="2"/>
  </r>
  <r>
    <s v="EXP-5100"/>
    <d v="2025-03-23T00:00:00"/>
    <x v="5"/>
    <x v="3"/>
    <n v="90038"/>
    <x v="3"/>
    <x v="0"/>
    <n v="128420"/>
    <n v="38382"/>
    <x v="2"/>
  </r>
  <r>
    <s v="EXP-5101"/>
    <d v="2025-03-15T00:00:00"/>
    <x v="5"/>
    <x v="0"/>
    <n v="12921"/>
    <x v="3"/>
    <x v="0"/>
    <n v="14131"/>
    <n v="1210"/>
    <x v="2"/>
  </r>
  <r>
    <s v="EXP-5102"/>
    <d v="2025-04-03T00:00:00"/>
    <x v="0"/>
    <x v="6"/>
    <n v="28267"/>
    <x v="3"/>
    <x v="0"/>
    <n v="42038"/>
    <n v="13771"/>
    <x v="3"/>
  </r>
  <r>
    <s v="EXP-5103"/>
    <d v="2025-04-28T00:00:00"/>
    <x v="0"/>
    <x v="3"/>
    <n v="162871"/>
    <x v="3"/>
    <x v="0"/>
    <n v="162953"/>
    <n v="82"/>
    <x v="3"/>
  </r>
  <r>
    <s v="EXP-5104"/>
    <d v="2025-04-10T00:00:00"/>
    <x v="0"/>
    <x v="6"/>
    <n v="79352"/>
    <x v="3"/>
    <x v="1"/>
    <n v="106334"/>
    <n v="26982"/>
    <x v="3"/>
  </r>
  <r>
    <s v="EXP-5105"/>
    <d v="2025-04-26T00:00:00"/>
    <x v="0"/>
    <x v="1"/>
    <n v="34617"/>
    <x v="0"/>
    <x v="0"/>
    <n v="36348"/>
    <n v="1731"/>
    <x v="3"/>
  </r>
  <r>
    <s v="EXP-5106"/>
    <d v="2025-04-12T00:00:00"/>
    <x v="0"/>
    <x v="7"/>
    <n v="24738"/>
    <x v="2"/>
    <x v="0"/>
    <n v="30755"/>
    <n v="6017"/>
    <x v="3"/>
  </r>
  <r>
    <s v="EXP-5107"/>
    <d v="2025-04-28T00:00:00"/>
    <x v="1"/>
    <x v="5"/>
    <n v="9484"/>
    <x v="2"/>
    <x v="0"/>
    <n v="13157"/>
    <n v="3673"/>
    <x v="3"/>
  </r>
  <r>
    <s v="EXP-5108"/>
    <d v="2025-04-28T00:00:00"/>
    <x v="1"/>
    <x v="6"/>
    <n v="24385"/>
    <x v="3"/>
    <x v="0"/>
    <n v="36317"/>
    <n v="11932"/>
    <x v="3"/>
  </r>
  <r>
    <s v="EXP-5109"/>
    <d v="2025-04-23T00:00:00"/>
    <x v="1"/>
    <x v="6"/>
    <n v="37029"/>
    <x v="2"/>
    <x v="0"/>
    <n v="47723"/>
    <n v="10694"/>
    <x v="3"/>
  </r>
  <r>
    <s v="EXP-5110"/>
    <d v="2025-04-09T00:00:00"/>
    <x v="1"/>
    <x v="2"/>
    <n v="3594"/>
    <x v="2"/>
    <x v="1"/>
    <n v="4742"/>
    <n v="1148"/>
    <x v="3"/>
  </r>
  <r>
    <s v="EXP-5111"/>
    <d v="2025-04-14T00:00:00"/>
    <x v="1"/>
    <x v="5"/>
    <n v="6426"/>
    <x v="0"/>
    <x v="0"/>
    <n v="7682"/>
    <n v="1256"/>
    <x v="3"/>
  </r>
  <r>
    <s v="EXP-5112"/>
    <d v="2025-04-14T00:00:00"/>
    <x v="1"/>
    <x v="5"/>
    <n v="14667"/>
    <x v="2"/>
    <x v="1"/>
    <n v="19158"/>
    <n v="4491"/>
    <x v="3"/>
  </r>
  <r>
    <s v="EXP-5113"/>
    <d v="2025-04-22T00:00:00"/>
    <x v="1"/>
    <x v="0"/>
    <n v="2546"/>
    <x v="3"/>
    <x v="0"/>
    <n v="3181"/>
    <n v="635"/>
    <x v="3"/>
  </r>
  <r>
    <s v="EXP-5114"/>
    <d v="2025-04-06T00:00:00"/>
    <x v="1"/>
    <x v="7"/>
    <n v="23440"/>
    <x v="0"/>
    <x v="0"/>
    <n v="29981"/>
    <n v="6541"/>
    <x v="3"/>
  </r>
  <r>
    <s v="EXP-5115"/>
    <d v="2025-04-10T00:00:00"/>
    <x v="2"/>
    <x v="6"/>
    <n v="64488"/>
    <x v="1"/>
    <x v="0"/>
    <n v="65808"/>
    <n v="1320"/>
    <x v="3"/>
  </r>
  <r>
    <s v="EXP-5116"/>
    <d v="2025-04-27T00:00:00"/>
    <x v="2"/>
    <x v="6"/>
    <n v="61403"/>
    <x v="1"/>
    <x v="0"/>
    <n v="72218"/>
    <n v="10815"/>
    <x v="3"/>
  </r>
  <r>
    <s v="EXP-5117"/>
    <d v="2025-04-17T00:00:00"/>
    <x v="2"/>
    <x v="5"/>
    <n v="5641"/>
    <x v="3"/>
    <x v="0"/>
    <n v="7856"/>
    <n v="2215"/>
    <x v="3"/>
  </r>
  <r>
    <s v="EXP-5118"/>
    <d v="2025-04-03T00:00:00"/>
    <x v="2"/>
    <x v="2"/>
    <n v="4039"/>
    <x v="0"/>
    <x v="0"/>
    <n v="5221"/>
    <n v="1182"/>
    <x v="3"/>
  </r>
  <r>
    <s v="EXP-5119"/>
    <d v="2025-04-21T00:00:00"/>
    <x v="2"/>
    <x v="5"/>
    <n v="5075"/>
    <x v="2"/>
    <x v="0"/>
    <n v="7135"/>
    <n v="2060"/>
    <x v="3"/>
  </r>
  <r>
    <s v="EXP-5120"/>
    <d v="2025-04-19T00:00:00"/>
    <x v="3"/>
    <x v="7"/>
    <n v="22563"/>
    <x v="2"/>
    <x v="0"/>
    <n v="26069"/>
    <n v="3506"/>
    <x v="3"/>
  </r>
  <r>
    <s v="EXP-5121"/>
    <d v="2025-04-18T00:00:00"/>
    <x v="3"/>
    <x v="2"/>
    <n v="2548"/>
    <x v="3"/>
    <x v="0"/>
    <n v="2721"/>
    <n v="173"/>
    <x v="3"/>
  </r>
  <r>
    <s v="EXP-5122"/>
    <d v="2025-04-15T00:00:00"/>
    <x v="3"/>
    <x v="7"/>
    <n v="21568"/>
    <x v="3"/>
    <x v="0"/>
    <n v="31566"/>
    <n v="9998"/>
    <x v="3"/>
  </r>
  <r>
    <s v="EXP-5123"/>
    <d v="2025-04-11T00:00:00"/>
    <x v="3"/>
    <x v="1"/>
    <n v="148037"/>
    <x v="0"/>
    <x v="0"/>
    <n v="180746"/>
    <n v="32709"/>
    <x v="3"/>
  </r>
  <r>
    <s v="EXP-5124"/>
    <d v="2025-04-15T00:00:00"/>
    <x v="3"/>
    <x v="3"/>
    <n v="120233"/>
    <x v="1"/>
    <x v="1"/>
    <n v="178032"/>
    <n v="57799"/>
    <x v="3"/>
  </r>
  <r>
    <s v="EXP-5125"/>
    <d v="2025-04-19T00:00:00"/>
    <x v="4"/>
    <x v="1"/>
    <n v="89269"/>
    <x v="0"/>
    <x v="0"/>
    <n v="124380"/>
    <n v="35111"/>
    <x v="3"/>
  </r>
  <r>
    <s v="EXP-5126"/>
    <d v="2025-04-13T00:00:00"/>
    <x v="4"/>
    <x v="7"/>
    <n v="4754"/>
    <x v="3"/>
    <x v="0"/>
    <n v="6549"/>
    <n v="1795"/>
    <x v="3"/>
  </r>
  <r>
    <s v="EXP-5127"/>
    <d v="2025-04-09T00:00:00"/>
    <x v="4"/>
    <x v="3"/>
    <n v="24246"/>
    <x v="1"/>
    <x v="0"/>
    <n v="25272"/>
    <n v="1026"/>
    <x v="3"/>
  </r>
  <r>
    <s v="EXP-5128"/>
    <d v="2025-04-02T00:00:00"/>
    <x v="5"/>
    <x v="3"/>
    <n v="191034"/>
    <x v="1"/>
    <x v="1"/>
    <n v="222680"/>
    <n v="31646"/>
    <x v="3"/>
  </r>
  <r>
    <s v="EXP-5129"/>
    <d v="2025-04-24T00:00:00"/>
    <x v="5"/>
    <x v="2"/>
    <n v="4729"/>
    <x v="2"/>
    <x v="0"/>
    <n v="5070"/>
    <n v="341"/>
    <x v="3"/>
  </r>
  <r>
    <s v="EXP-5130"/>
    <d v="2025-04-24T00:00:00"/>
    <x v="5"/>
    <x v="1"/>
    <n v="88877"/>
    <x v="1"/>
    <x v="0"/>
    <n v="116795"/>
    <n v="27918"/>
    <x v="3"/>
  </r>
  <r>
    <s v="EXP-5131"/>
    <d v="2025-04-20T00:00:00"/>
    <x v="5"/>
    <x v="0"/>
    <n v="6400"/>
    <x v="1"/>
    <x v="1"/>
    <n v="6400"/>
    <n v="0"/>
    <x v="3"/>
  </r>
  <r>
    <s v="EXP-5132"/>
    <d v="2025-04-27T00:00:00"/>
    <x v="5"/>
    <x v="2"/>
    <n v="1348"/>
    <x v="2"/>
    <x v="0"/>
    <n v="1667"/>
    <n v="319"/>
    <x v="3"/>
  </r>
  <r>
    <s v="EXP-5133"/>
    <d v="2025-05-27T00:00:00"/>
    <x v="0"/>
    <x v="4"/>
    <n v="68402"/>
    <x v="3"/>
    <x v="1"/>
    <n v="102011"/>
    <n v="33609"/>
    <x v="4"/>
  </r>
  <r>
    <s v="EXP-5134"/>
    <d v="2025-05-14T00:00:00"/>
    <x v="0"/>
    <x v="3"/>
    <n v="182532"/>
    <x v="3"/>
    <x v="0"/>
    <n v="238858"/>
    <n v="56326"/>
    <x v="4"/>
  </r>
  <r>
    <s v="EXP-5135"/>
    <d v="2025-05-23T00:00:00"/>
    <x v="0"/>
    <x v="2"/>
    <n v="1898"/>
    <x v="3"/>
    <x v="0"/>
    <n v="2383"/>
    <n v="485"/>
    <x v="4"/>
  </r>
  <r>
    <s v="EXP-5136"/>
    <d v="2025-05-19T00:00:00"/>
    <x v="0"/>
    <x v="7"/>
    <n v="24873"/>
    <x v="2"/>
    <x v="0"/>
    <n v="26117"/>
    <n v="1244"/>
    <x v="4"/>
  </r>
  <r>
    <s v="EXP-5137"/>
    <d v="2025-05-15T00:00:00"/>
    <x v="0"/>
    <x v="4"/>
    <n v="96442"/>
    <x v="2"/>
    <x v="0"/>
    <n v="135012"/>
    <n v="38570"/>
    <x v="4"/>
  </r>
  <r>
    <s v="EXP-5138"/>
    <d v="2025-05-01T00:00:00"/>
    <x v="1"/>
    <x v="3"/>
    <n v="41490"/>
    <x v="0"/>
    <x v="0"/>
    <n v="53195"/>
    <n v="11705"/>
    <x v="4"/>
  </r>
  <r>
    <s v="EXP-5139"/>
    <d v="2025-05-15T00:00:00"/>
    <x v="1"/>
    <x v="6"/>
    <n v="51494"/>
    <x v="2"/>
    <x v="0"/>
    <n v="76283"/>
    <n v="24789"/>
    <x v="4"/>
  </r>
  <r>
    <s v="EXP-5140"/>
    <d v="2025-05-17T00:00:00"/>
    <x v="1"/>
    <x v="5"/>
    <n v="9202"/>
    <x v="3"/>
    <x v="0"/>
    <n v="13140"/>
    <n v="3938"/>
    <x v="4"/>
  </r>
  <r>
    <s v="EXP-5141"/>
    <d v="2025-05-12T00:00:00"/>
    <x v="1"/>
    <x v="0"/>
    <n v="13435"/>
    <x v="0"/>
    <x v="0"/>
    <n v="17841"/>
    <n v="4406"/>
    <x v="4"/>
  </r>
  <r>
    <s v="EXP-5142"/>
    <d v="2025-05-27T00:00:00"/>
    <x v="1"/>
    <x v="7"/>
    <n v="15908"/>
    <x v="2"/>
    <x v="0"/>
    <n v="16451"/>
    <n v="543"/>
    <x v="4"/>
  </r>
  <r>
    <s v="EXP-5143"/>
    <d v="2025-05-17T00:00:00"/>
    <x v="2"/>
    <x v="1"/>
    <n v="142901"/>
    <x v="0"/>
    <x v="0"/>
    <n v="198304"/>
    <n v="55403"/>
    <x v="4"/>
  </r>
  <r>
    <s v="EXP-5144"/>
    <d v="2025-05-13T00:00:00"/>
    <x v="2"/>
    <x v="5"/>
    <n v="10576"/>
    <x v="1"/>
    <x v="0"/>
    <n v="13841"/>
    <n v="3265"/>
    <x v="4"/>
  </r>
  <r>
    <s v="EXP-5145"/>
    <d v="2025-05-16T00:00:00"/>
    <x v="2"/>
    <x v="2"/>
    <n v="1290"/>
    <x v="2"/>
    <x v="0"/>
    <n v="1719"/>
    <n v="429"/>
    <x v="4"/>
  </r>
  <r>
    <s v="EXP-5146"/>
    <d v="2025-05-13T00:00:00"/>
    <x v="2"/>
    <x v="0"/>
    <n v="13403"/>
    <x v="2"/>
    <x v="0"/>
    <n v="18283"/>
    <n v="4880"/>
    <x v="4"/>
  </r>
  <r>
    <s v="EXP-5147"/>
    <d v="2025-05-24T00:00:00"/>
    <x v="2"/>
    <x v="7"/>
    <n v="6751"/>
    <x v="1"/>
    <x v="0"/>
    <n v="6877"/>
    <n v="126"/>
    <x v="4"/>
  </r>
  <r>
    <s v="EXP-5148"/>
    <d v="2025-05-23T00:00:00"/>
    <x v="2"/>
    <x v="6"/>
    <n v="27815"/>
    <x v="2"/>
    <x v="0"/>
    <n v="32282"/>
    <n v="4467"/>
    <x v="4"/>
  </r>
  <r>
    <s v="EXP-5149"/>
    <d v="2025-05-15T00:00:00"/>
    <x v="2"/>
    <x v="2"/>
    <n v="2103"/>
    <x v="0"/>
    <x v="0"/>
    <n v="2368"/>
    <n v="265"/>
    <x v="4"/>
  </r>
  <r>
    <s v="EXP-5150"/>
    <d v="2025-05-26T00:00:00"/>
    <x v="2"/>
    <x v="4"/>
    <n v="111671"/>
    <x v="3"/>
    <x v="0"/>
    <n v="141182"/>
    <n v="29511"/>
    <x v="4"/>
  </r>
  <r>
    <s v="EXP-5151"/>
    <d v="2025-05-05T00:00:00"/>
    <x v="3"/>
    <x v="0"/>
    <n v="15339"/>
    <x v="1"/>
    <x v="0"/>
    <n v="15594"/>
    <n v="255"/>
    <x v="4"/>
  </r>
  <r>
    <s v="EXP-5152"/>
    <d v="2025-05-24T00:00:00"/>
    <x v="3"/>
    <x v="0"/>
    <n v="24328"/>
    <x v="2"/>
    <x v="0"/>
    <n v="26582"/>
    <n v="2254"/>
    <x v="4"/>
  </r>
  <r>
    <s v="EXP-5153"/>
    <d v="2025-05-20T00:00:00"/>
    <x v="3"/>
    <x v="3"/>
    <n v="141294"/>
    <x v="3"/>
    <x v="0"/>
    <n v="166169"/>
    <n v="24875"/>
    <x v="4"/>
  </r>
  <r>
    <s v="EXP-5154"/>
    <d v="2025-05-03T00:00:00"/>
    <x v="3"/>
    <x v="4"/>
    <n v="119553"/>
    <x v="3"/>
    <x v="1"/>
    <n v="123789"/>
    <n v="4236"/>
    <x v="4"/>
  </r>
  <r>
    <s v="EXP-5155"/>
    <d v="2025-05-20T00:00:00"/>
    <x v="3"/>
    <x v="0"/>
    <n v="34683"/>
    <x v="0"/>
    <x v="0"/>
    <n v="38681"/>
    <n v="3998"/>
    <x v="4"/>
  </r>
  <r>
    <s v="EXP-5156"/>
    <d v="2025-05-03T00:00:00"/>
    <x v="3"/>
    <x v="7"/>
    <n v="15793"/>
    <x v="3"/>
    <x v="0"/>
    <n v="21346"/>
    <n v="5553"/>
    <x v="4"/>
  </r>
  <r>
    <s v="EXP-5157"/>
    <d v="2025-05-20T00:00:00"/>
    <x v="3"/>
    <x v="2"/>
    <n v="7489"/>
    <x v="0"/>
    <x v="0"/>
    <n v="9428"/>
    <n v="1939"/>
    <x v="4"/>
  </r>
  <r>
    <s v="EXP-5158"/>
    <d v="2025-05-09T00:00:00"/>
    <x v="3"/>
    <x v="0"/>
    <n v="40192"/>
    <x v="1"/>
    <x v="0"/>
    <n v="49657"/>
    <n v="9465"/>
    <x v="4"/>
  </r>
  <r>
    <s v="EXP-5159"/>
    <d v="2025-05-02T00:00:00"/>
    <x v="4"/>
    <x v="2"/>
    <n v="3240"/>
    <x v="3"/>
    <x v="0"/>
    <n v="4679"/>
    <n v="1439"/>
    <x v="4"/>
  </r>
  <r>
    <s v="EXP-5160"/>
    <d v="2025-05-26T00:00:00"/>
    <x v="4"/>
    <x v="6"/>
    <n v="35882"/>
    <x v="1"/>
    <x v="0"/>
    <n v="44737"/>
    <n v="8855"/>
    <x v="4"/>
  </r>
  <r>
    <s v="EXP-5161"/>
    <d v="2025-05-05T00:00:00"/>
    <x v="4"/>
    <x v="0"/>
    <n v="38138"/>
    <x v="0"/>
    <x v="0"/>
    <n v="47268"/>
    <n v="9130"/>
    <x v="4"/>
  </r>
  <r>
    <s v="EXP-5162"/>
    <d v="2025-05-12T00:00:00"/>
    <x v="4"/>
    <x v="3"/>
    <n v="143065"/>
    <x v="2"/>
    <x v="0"/>
    <n v="159177"/>
    <n v="16112"/>
    <x v="4"/>
  </r>
  <r>
    <s v="EXP-5163"/>
    <d v="2025-05-26T00:00:00"/>
    <x v="4"/>
    <x v="6"/>
    <n v="12255"/>
    <x v="3"/>
    <x v="1"/>
    <n v="12416"/>
    <n v="161"/>
    <x v="4"/>
  </r>
  <r>
    <s v="EXP-5164"/>
    <d v="2025-05-13T00:00:00"/>
    <x v="5"/>
    <x v="6"/>
    <n v="77416"/>
    <x v="2"/>
    <x v="0"/>
    <n v="96080"/>
    <n v="18664"/>
    <x v="4"/>
  </r>
  <r>
    <s v="EXP-5165"/>
    <d v="2025-05-20T00:00:00"/>
    <x v="5"/>
    <x v="1"/>
    <n v="40299"/>
    <x v="0"/>
    <x v="0"/>
    <n v="49124"/>
    <n v="8825"/>
    <x v="4"/>
  </r>
  <r>
    <s v="EXP-5166"/>
    <d v="2025-05-03T00:00:00"/>
    <x v="5"/>
    <x v="4"/>
    <n v="12592"/>
    <x v="1"/>
    <x v="0"/>
    <n v="14092"/>
    <n v="1500"/>
    <x v="4"/>
  </r>
  <r>
    <s v="EXP-5167"/>
    <d v="2025-05-08T00:00:00"/>
    <x v="5"/>
    <x v="6"/>
    <n v="6952"/>
    <x v="1"/>
    <x v="0"/>
    <n v="9987"/>
    <n v="3035"/>
    <x v="4"/>
  </r>
  <r>
    <s v="EXP-5168"/>
    <d v="2025-05-11T00:00:00"/>
    <x v="5"/>
    <x v="3"/>
    <n v="57341"/>
    <x v="0"/>
    <x v="1"/>
    <n v="65443"/>
    <n v="8102"/>
    <x v="4"/>
  </r>
  <r>
    <s v="EXP-5169"/>
    <d v="2025-05-04T00:00:00"/>
    <x v="5"/>
    <x v="1"/>
    <n v="114285"/>
    <x v="1"/>
    <x v="0"/>
    <n v="141639"/>
    <n v="27354"/>
    <x v="4"/>
  </r>
  <r>
    <s v="EXP-5170"/>
    <d v="2025-05-27T00:00:00"/>
    <x v="5"/>
    <x v="2"/>
    <n v="4554"/>
    <x v="0"/>
    <x v="0"/>
    <n v="6160"/>
    <n v="1606"/>
    <x v="4"/>
  </r>
  <r>
    <s v="EXP-5171"/>
    <d v="2025-05-28T00:00:00"/>
    <x v="5"/>
    <x v="5"/>
    <n v="13782"/>
    <x v="3"/>
    <x v="1"/>
    <n v="17582"/>
    <n v="3800"/>
    <x v="4"/>
  </r>
  <r>
    <s v="EXP-5172"/>
    <d v="2025-06-14T00:00:00"/>
    <x v="0"/>
    <x v="0"/>
    <n v="5538"/>
    <x v="2"/>
    <x v="0"/>
    <n v="6498"/>
    <n v="960"/>
    <x v="5"/>
  </r>
  <r>
    <s v="EXP-5173"/>
    <d v="2025-06-24T00:00:00"/>
    <x v="0"/>
    <x v="1"/>
    <n v="146575"/>
    <x v="3"/>
    <x v="0"/>
    <n v="163470"/>
    <n v="16895"/>
    <x v="5"/>
  </r>
  <r>
    <s v="EXP-5174"/>
    <d v="2025-06-21T00:00:00"/>
    <x v="0"/>
    <x v="6"/>
    <n v="35815"/>
    <x v="2"/>
    <x v="0"/>
    <n v="48321"/>
    <n v="12506"/>
    <x v="5"/>
  </r>
  <r>
    <s v="EXP-5175"/>
    <d v="2025-06-13T00:00:00"/>
    <x v="0"/>
    <x v="6"/>
    <n v="40428"/>
    <x v="0"/>
    <x v="0"/>
    <n v="46047"/>
    <n v="5619"/>
    <x v="5"/>
  </r>
  <r>
    <s v="EXP-5176"/>
    <d v="2025-06-13T00:00:00"/>
    <x v="0"/>
    <x v="4"/>
    <n v="69927"/>
    <x v="2"/>
    <x v="0"/>
    <n v="70586"/>
    <n v="659"/>
    <x v="5"/>
  </r>
  <r>
    <s v="EXP-5177"/>
    <d v="2025-06-14T00:00:00"/>
    <x v="0"/>
    <x v="2"/>
    <n v="3607"/>
    <x v="1"/>
    <x v="0"/>
    <n v="3940"/>
    <n v="333"/>
    <x v="5"/>
  </r>
  <r>
    <s v="EXP-5178"/>
    <d v="2025-06-25T00:00:00"/>
    <x v="0"/>
    <x v="5"/>
    <n v="1425"/>
    <x v="0"/>
    <x v="0"/>
    <n v="2073"/>
    <n v="648"/>
    <x v="5"/>
  </r>
  <r>
    <s v="EXP-5179"/>
    <d v="2025-06-20T00:00:00"/>
    <x v="0"/>
    <x v="6"/>
    <n v="49688"/>
    <x v="2"/>
    <x v="0"/>
    <n v="67719"/>
    <n v="18031"/>
    <x v="5"/>
  </r>
  <r>
    <s v="EXP-5180"/>
    <d v="2025-06-10T00:00:00"/>
    <x v="1"/>
    <x v="4"/>
    <n v="99541"/>
    <x v="2"/>
    <x v="0"/>
    <n v="145951"/>
    <n v="46410"/>
    <x v="5"/>
  </r>
  <r>
    <s v="EXP-5181"/>
    <d v="2025-06-15T00:00:00"/>
    <x v="1"/>
    <x v="7"/>
    <n v="8326"/>
    <x v="3"/>
    <x v="0"/>
    <n v="12324"/>
    <n v="3998"/>
    <x v="5"/>
  </r>
  <r>
    <s v="EXP-5182"/>
    <d v="2025-06-25T00:00:00"/>
    <x v="1"/>
    <x v="7"/>
    <n v="5802"/>
    <x v="0"/>
    <x v="0"/>
    <n v="8700"/>
    <n v="2898"/>
    <x v="5"/>
  </r>
  <r>
    <s v="EXP-5183"/>
    <d v="2025-06-22T00:00:00"/>
    <x v="1"/>
    <x v="6"/>
    <n v="40949"/>
    <x v="0"/>
    <x v="1"/>
    <n v="48355"/>
    <n v="7406"/>
    <x v="5"/>
  </r>
  <r>
    <s v="EXP-5184"/>
    <d v="2025-06-27T00:00:00"/>
    <x v="1"/>
    <x v="7"/>
    <n v="21626"/>
    <x v="0"/>
    <x v="0"/>
    <n v="28771"/>
    <n v="7145"/>
    <x v="5"/>
  </r>
  <r>
    <s v="EXP-5185"/>
    <d v="2025-06-02T00:00:00"/>
    <x v="1"/>
    <x v="6"/>
    <n v="62659"/>
    <x v="0"/>
    <x v="0"/>
    <n v="62937"/>
    <n v="278"/>
    <x v="5"/>
  </r>
  <r>
    <s v="EXP-5186"/>
    <d v="2025-06-03T00:00:00"/>
    <x v="1"/>
    <x v="4"/>
    <n v="12678"/>
    <x v="0"/>
    <x v="1"/>
    <n v="16352"/>
    <n v="3674"/>
    <x v="5"/>
  </r>
  <r>
    <s v="EXP-5187"/>
    <d v="2025-06-26T00:00:00"/>
    <x v="2"/>
    <x v="3"/>
    <n v="57134"/>
    <x v="0"/>
    <x v="0"/>
    <n v="64504"/>
    <n v="7370"/>
    <x v="5"/>
  </r>
  <r>
    <s v="EXP-5188"/>
    <d v="2025-06-28T00:00:00"/>
    <x v="2"/>
    <x v="2"/>
    <n v="5663"/>
    <x v="1"/>
    <x v="0"/>
    <n v="6157"/>
    <n v="494"/>
    <x v="5"/>
  </r>
  <r>
    <s v="EXP-5189"/>
    <d v="2025-06-28T00:00:00"/>
    <x v="2"/>
    <x v="6"/>
    <n v="29150"/>
    <x v="2"/>
    <x v="1"/>
    <n v="39126"/>
    <n v="9976"/>
    <x v="5"/>
  </r>
  <r>
    <s v="EXP-5190"/>
    <d v="2025-06-09T00:00:00"/>
    <x v="3"/>
    <x v="2"/>
    <n v="998"/>
    <x v="0"/>
    <x v="0"/>
    <n v="1473"/>
    <n v="475"/>
    <x v="5"/>
  </r>
  <r>
    <s v="EXP-5191"/>
    <d v="2025-06-03T00:00:00"/>
    <x v="3"/>
    <x v="6"/>
    <n v="35762"/>
    <x v="2"/>
    <x v="0"/>
    <n v="42016"/>
    <n v="6254"/>
    <x v="5"/>
  </r>
  <r>
    <s v="EXP-5192"/>
    <d v="2025-06-12T00:00:00"/>
    <x v="3"/>
    <x v="2"/>
    <n v="2171"/>
    <x v="2"/>
    <x v="0"/>
    <n v="2525"/>
    <n v="354"/>
    <x v="5"/>
  </r>
  <r>
    <s v="EXP-5193"/>
    <d v="2025-06-26T00:00:00"/>
    <x v="3"/>
    <x v="1"/>
    <n v="16473"/>
    <x v="0"/>
    <x v="0"/>
    <n v="19163"/>
    <n v="2690"/>
    <x v="5"/>
  </r>
  <r>
    <s v="EXP-5194"/>
    <d v="2025-06-10T00:00:00"/>
    <x v="3"/>
    <x v="5"/>
    <n v="8711"/>
    <x v="1"/>
    <x v="0"/>
    <n v="12816"/>
    <n v="4105"/>
    <x v="5"/>
  </r>
  <r>
    <s v="EXP-5195"/>
    <d v="2025-06-01T00:00:00"/>
    <x v="3"/>
    <x v="7"/>
    <n v="7917"/>
    <x v="1"/>
    <x v="1"/>
    <n v="11527"/>
    <n v="3610"/>
    <x v="5"/>
  </r>
  <r>
    <s v="EXP-5196"/>
    <d v="2025-06-19T00:00:00"/>
    <x v="3"/>
    <x v="5"/>
    <n v="4520"/>
    <x v="1"/>
    <x v="0"/>
    <n v="5376"/>
    <n v="856"/>
    <x v="5"/>
  </r>
  <r>
    <s v="EXP-5197"/>
    <d v="2025-06-19T00:00:00"/>
    <x v="4"/>
    <x v="0"/>
    <n v="16718"/>
    <x v="2"/>
    <x v="1"/>
    <n v="21444"/>
    <n v="4726"/>
    <x v="5"/>
  </r>
  <r>
    <s v="EXP-5198"/>
    <d v="2025-06-17T00:00:00"/>
    <x v="4"/>
    <x v="6"/>
    <n v="66909"/>
    <x v="2"/>
    <x v="0"/>
    <n v="88962"/>
    <n v="22053"/>
    <x v="5"/>
  </r>
  <r>
    <s v="EXP-5199"/>
    <d v="2025-06-26T00:00:00"/>
    <x v="4"/>
    <x v="7"/>
    <n v="10996"/>
    <x v="0"/>
    <x v="0"/>
    <n v="12803"/>
    <n v="1807"/>
    <x v="5"/>
  </r>
  <r>
    <s v="EXP-5200"/>
    <d v="2025-06-24T00:00:00"/>
    <x v="5"/>
    <x v="0"/>
    <n v="47421"/>
    <x v="2"/>
    <x v="0"/>
    <n v="53136"/>
    <n v="5715"/>
    <x v="5"/>
  </r>
  <r>
    <s v="EXP-5201"/>
    <d v="2025-06-20T00:00:00"/>
    <x v="5"/>
    <x v="0"/>
    <n v="25743"/>
    <x v="3"/>
    <x v="0"/>
    <n v="34152"/>
    <n v="8409"/>
    <x v="5"/>
  </r>
  <r>
    <s v="EXP-5202"/>
    <d v="2025-06-14T00:00:00"/>
    <x v="5"/>
    <x v="1"/>
    <n v="74210"/>
    <x v="3"/>
    <x v="1"/>
    <n v="103020"/>
    <n v="28810"/>
    <x v="5"/>
  </r>
  <r>
    <s v="EXP-5203"/>
    <d v="2025-06-14T00:00:00"/>
    <x v="5"/>
    <x v="5"/>
    <n v="6142"/>
    <x v="2"/>
    <x v="1"/>
    <n v="6504"/>
    <n v="362"/>
    <x v="5"/>
  </r>
  <r>
    <s v="EXP-5204"/>
    <d v="2025-06-07T00:00:00"/>
    <x v="5"/>
    <x v="3"/>
    <n v="175840"/>
    <x v="3"/>
    <x v="0"/>
    <n v="253336"/>
    <n v="77496"/>
    <x v="5"/>
  </r>
  <r>
    <s v="EXP-5205"/>
    <d v="2025-06-18T00:00:00"/>
    <x v="5"/>
    <x v="0"/>
    <n v="29435"/>
    <x v="2"/>
    <x v="0"/>
    <n v="33311"/>
    <n v="3876"/>
    <x v="5"/>
  </r>
  <r>
    <s v="EXP-5206"/>
    <d v="2025-06-03T00:00:00"/>
    <x v="5"/>
    <x v="4"/>
    <n v="8136"/>
    <x v="3"/>
    <x v="1"/>
    <n v="10943"/>
    <n v="2807"/>
    <x v="5"/>
  </r>
  <r>
    <s v="EXP-5207"/>
    <d v="2025-06-23T00:00:00"/>
    <x v="5"/>
    <x v="4"/>
    <n v="51447"/>
    <x v="3"/>
    <x v="0"/>
    <n v="54726"/>
    <n v="3279"/>
    <x v="5"/>
  </r>
  <r>
    <s v="EXP-5208"/>
    <d v="2025-07-24T00:00:00"/>
    <x v="0"/>
    <x v="0"/>
    <n v="49328"/>
    <x v="0"/>
    <x v="0"/>
    <n v="50444"/>
    <n v="1116"/>
    <x v="6"/>
  </r>
  <r>
    <s v="EXP-5209"/>
    <d v="2025-07-16T00:00:00"/>
    <x v="0"/>
    <x v="3"/>
    <n v="124213"/>
    <x v="3"/>
    <x v="0"/>
    <n v="142180"/>
    <n v="17967"/>
    <x v="6"/>
  </r>
  <r>
    <s v="EXP-5210"/>
    <d v="2025-07-19T00:00:00"/>
    <x v="0"/>
    <x v="0"/>
    <n v="11978"/>
    <x v="0"/>
    <x v="0"/>
    <n v="17342"/>
    <n v="5364"/>
    <x v="6"/>
  </r>
  <r>
    <s v="EXP-5211"/>
    <d v="2025-07-19T00:00:00"/>
    <x v="0"/>
    <x v="3"/>
    <n v="56326"/>
    <x v="0"/>
    <x v="0"/>
    <n v="70652"/>
    <n v="14326"/>
    <x v="6"/>
  </r>
  <r>
    <s v="EXP-5212"/>
    <d v="2025-07-17T00:00:00"/>
    <x v="0"/>
    <x v="3"/>
    <n v="99421"/>
    <x v="2"/>
    <x v="0"/>
    <n v="101821"/>
    <n v="2400"/>
    <x v="6"/>
  </r>
  <r>
    <s v="EXP-5213"/>
    <d v="2025-07-24T00:00:00"/>
    <x v="1"/>
    <x v="1"/>
    <n v="47538"/>
    <x v="3"/>
    <x v="0"/>
    <n v="48535"/>
    <n v="997"/>
    <x v="6"/>
  </r>
  <r>
    <s v="EXP-5214"/>
    <d v="2025-07-06T00:00:00"/>
    <x v="1"/>
    <x v="5"/>
    <n v="2629"/>
    <x v="1"/>
    <x v="0"/>
    <n v="3086"/>
    <n v="457"/>
    <x v="6"/>
  </r>
  <r>
    <s v="EXP-5215"/>
    <d v="2025-07-10T00:00:00"/>
    <x v="1"/>
    <x v="3"/>
    <n v="68624"/>
    <x v="0"/>
    <x v="1"/>
    <n v="99002"/>
    <n v="30378"/>
    <x v="6"/>
  </r>
  <r>
    <s v="EXP-5216"/>
    <d v="2025-07-18T00:00:00"/>
    <x v="1"/>
    <x v="7"/>
    <n v="7620"/>
    <x v="3"/>
    <x v="0"/>
    <n v="7986"/>
    <n v="366"/>
    <x v="6"/>
  </r>
  <r>
    <s v="EXP-5217"/>
    <d v="2025-07-27T00:00:00"/>
    <x v="1"/>
    <x v="2"/>
    <n v="554"/>
    <x v="1"/>
    <x v="0"/>
    <n v="689"/>
    <n v="135"/>
    <x v="6"/>
  </r>
  <r>
    <s v="EXP-5218"/>
    <d v="2025-07-05T00:00:00"/>
    <x v="2"/>
    <x v="4"/>
    <n v="100956"/>
    <x v="2"/>
    <x v="0"/>
    <n v="123410"/>
    <n v="22454"/>
    <x v="6"/>
  </r>
  <r>
    <s v="EXP-5219"/>
    <d v="2025-07-03T00:00:00"/>
    <x v="2"/>
    <x v="3"/>
    <n v="123315"/>
    <x v="3"/>
    <x v="0"/>
    <n v="153728"/>
    <n v="30413"/>
    <x v="6"/>
  </r>
  <r>
    <s v="EXP-5220"/>
    <d v="2025-07-11T00:00:00"/>
    <x v="2"/>
    <x v="0"/>
    <n v="16577"/>
    <x v="3"/>
    <x v="1"/>
    <n v="22606"/>
    <n v="6029"/>
    <x v="6"/>
  </r>
  <r>
    <s v="EXP-5221"/>
    <d v="2025-07-22T00:00:00"/>
    <x v="2"/>
    <x v="3"/>
    <n v="175314"/>
    <x v="1"/>
    <x v="0"/>
    <n v="239788"/>
    <n v="64474"/>
    <x v="6"/>
  </r>
  <r>
    <s v="EXP-5222"/>
    <d v="2025-07-11T00:00:00"/>
    <x v="2"/>
    <x v="0"/>
    <n v="48209"/>
    <x v="3"/>
    <x v="1"/>
    <n v="67353"/>
    <n v="19144"/>
    <x v="6"/>
  </r>
  <r>
    <s v="EXP-5223"/>
    <d v="2025-07-13T00:00:00"/>
    <x v="2"/>
    <x v="6"/>
    <n v="37232"/>
    <x v="3"/>
    <x v="0"/>
    <n v="39780"/>
    <n v="2548"/>
    <x v="6"/>
  </r>
  <r>
    <s v="EXP-5224"/>
    <d v="2025-07-24T00:00:00"/>
    <x v="2"/>
    <x v="1"/>
    <n v="137010"/>
    <x v="2"/>
    <x v="0"/>
    <n v="192764"/>
    <n v="55754"/>
    <x v="6"/>
  </r>
  <r>
    <s v="EXP-5225"/>
    <d v="2025-07-24T00:00:00"/>
    <x v="3"/>
    <x v="0"/>
    <n v="35836"/>
    <x v="3"/>
    <x v="0"/>
    <n v="51195"/>
    <n v="15359"/>
    <x v="6"/>
  </r>
  <r>
    <s v="EXP-5226"/>
    <d v="2025-07-23T00:00:00"/>
    <x v="3"/>
    <x v="3"/>
    <n v="156207"/>
    <x v="3"/>
    <x v="0"/>
    <n v="203945"/>
    <n v="47738"/>
    <x v="6"/>
  </r>
  <r>
    <s v="EXP-5227"/>
    <d v="2025-07-21T00:00:00"/>
    <x v="3"/>
    <x v="4"/>
    <n v="87709"/>
    <x v="0"/>
    <x v="0"/>
    <n v="113316"/>
    <n v="25607"/>
    <x v="6"/>
  </r>
  <r>
    <s v="EXP-5228"/>
    <d v="2025-07-10T00:00:00"/>
    <x v="3"/>
    <x v="1"/>
    <n v="88669"/>
    <x v="2"/>
    <x v="0"/>
    <n v="125941"/>
    <n v="37272"/>
    <x v="6"/>
  </r>
  <r>
    <s v="EXP-5229"/>
    <d v="2025-07-04T00:00:00"/>
    <x v="3"/>
    <x v="5"/>
    <n v="9903"/>
    <x v="3"/>
    <x v="0"/>
    <n v="12284"/>
    <n v="2381"/>
    <x v="6"/>
  </r>
  <r>
    <s v="EXP-5230"/>
    <d v="2025-07-14T00:00:00"/>
    <x v="3"/>
    <x v="3"/>
    <n v="95300"/>
    <x v="1"/>
    <x v="0"/>
    <n v="107088"/>
    <n v="11788"/>
    <x v="6"/>
  </r>
  <r>
    <s v="EXP-5231"/>
    <d v="2025-07-23T00:00:00"/>
    <x v="3"/>
    <x v="0"/>
    <n v="24778"/>
    <x v="3"/>
    <x v="0"/>
    <n v="33413"/>
    <n v="8635"/>
    <x v="6"/>
  </r>
  <r>
    <s v="EXP-5232"/>
    <d v="2025-07-10T00:00:00"/>
    <x v="3"/>
    <x v="4"/>
    <n v="95075"/>
    <x v="0"/>
    <x v="1"/>
    <n v="106240"/>
    <n v="11165"/>
    <x v="6"/>
  </r>
  <r>
    <s v="EXP-5233"/>
    <d v="2025-07-14T00:00:00"/>
    <x v="4"/>
    <x v="5"/>
    <n v="5286"/>
    <x v="2"/>
    <x v="0"/>
    <n v="7070"/>
    <n v="1784"/>
    <x v="6"/>
  </r>
  <r>
    <s v="EXP-5234"/>
    <d v="2025-07-24T00:00:00"/>
    <x v="4"/>
    <x v="7"/>
    <n v="4790"/>
    <x v="3"/>
    <x v="0"/>
    <n v="5433"/>
    <n v="643"/>
    <x v="6"/>
  </r>
  <r>
    <s v="EXP-5235"/>
    <d v="2025-07-06T00:00:00"/>
    <x v="4"/>
    <x v="3"/>
    <n v="117429"/>
    <x v="3"/>
    <x v="0"/>
    <n v="130423"/>
    <n v="12994"/>
    <x v="6"/>
  </r>
  <r>
    <s v="EXP-5236"/>
    <d v="2025-07-01T00:00:00"/>
    <x v="5"/>
    <x v="1"/>
    <n v="15221"/>
    <x v="2"/>
    <x v="0"/>
    <n v="22453"/>
    <n v="7232"/>
    <x v="6"/>
  </r>
  <r>
    <s v="EXP-5237"/>
    <d v="2025-07-07T00:00:00"/>
    <x v="5"/>
    <x v="0"/>
    <n v="44921"/>
    <x v="0"/>
    <x v="1"/>
    <n v="46026"/>
    <n v="1105"/>
    <x v="6"/>
  </r>
  <r>
    <s v="EXP-5238"/>
    <d v="2025-07-10T00:00:00"/>
    <x v="5"/>
    <x v="4"/>
    <n v="117685"/>
    <x v="3"/>
    <x v="0"/>
    <n v="159923"/>
    <n v="42238"/>
    <x v="6"/>
  </r>
  <r>
    <s v="EXP-5239"/>
    <d v="2025-07-01T00:00:00"/>
    <x v="5"/>
    <x v="2"/>
    <n v="5029"/>
    <x v="1"/>
    <x v="0"/>
    <n v="6873"/>
    <n v="1844"/>
    <x v="6"/>
  </r>
  <r>
    <s v="EXP-5240"/>
    <d v="2025-07-06T00:00:00"/>
    <x v="5"/>
    <x v="4"/>
    <n v="108722"/>
    <x v="0"/>
    <x v="0"/>
    <n v="135082"/>
    <n v="26360"/>
    <x v="6"/>
  </r>
  <r>
    <s v="EXP-5241"/>
    <d v="2025-08-04T00:00:00"/>
    <x v="0"/>
    <x v="2"/>
    <n v="776"/>
    <x v="2"/>
    <x v="0"/>
    <n v="882"/>
    <n v="106"/>
    <x v="7"/>
  </r>
  <r>
    <s v="EXP-5242"/>
    <d v="2025-08-24T00:00:00"/>
    <x v="0"/>
    <x v="0"/>
    <n v="7015"/>
    <x v="2"/>
    <x v="0"/>
    <n v="7274"/>
    <n v="259"/>
    <x v="7"/>
  </r>
  <r>
    <s v="EXP-5243"/>
    <d v="2025-08-26T00:00:00"/>
    <x v="0"/>
    <x v="1"/>
    <n v="35049"/>
    <x v="2"/>
    <x v="0"/>
    <n v="47945"/>
    <n v="12896"/>
    <x v="7"/>
  </r>
  <r>
    <s v="EXP-5244"/>
    <d v="2025-08-01T00:00:00"/>
    <x v="0"/>
    <x v="5"/>
    <n v="7965"/>
    <x v="0"/>
    <x v="0"/>
    <n v="10005"/>
    <n v="2040"/>
    <x v="7"/>
  </r>
  <r>
    <s v="EXP-5245"/>
    <d v="2025-08-19T00:00:00"/>
    <x v="0"/>
    <x v="0"/>
    <n v="19319"/>
    <x v="2"/>
    <x v="0"/>
    <n v="28682"/>
    <n v="9363"/>
    <x v="7"/>
  </r>
  <r>
    <s v="EXP-5246"/>
    <d v="2025-08-18T00:00:00"/>
    <x v="0"/>
    <x v="0"/>
    <n v="16565"/>
    <x v="0"/>
    <x v="0"/>
    <n v="24573"/>
    <n v="8008"/>
    <x v="7"/>
  </r>
  <r>
    <s v="EXP-5247"/>
    <d v="2025-08-16T00:00:00"/>
    <x v="0"/>
    <x v="2"/>
    <n v="3632"/>
    <x v="2"/>
    <x v="0"/>
    <n v="3663"/>
    <n v="31"/>
    <x v="7"/>
  </r>
  <r>
    <s v="EXP-5248"/>
    <d v="2025-08-01T00:00:00"/>
    <x v="0"/>
    <x v="3"/>
    <n v="68736"/>
    <x v="2"/>
    <x v="0"/>
    <n v="88597"/>
    <n v="19861"/>
    <x v="7"/>
  </r>
  <r>
    <s v="EXP-5249"/>
    <d v="2025-08-05T00:00:00"/>
    <x v="1"/>
    <x v="0"/>
    <n v="44127"/>
    <x v="1"/>
    <x v="0"/>
    <n v="50980"/>
    <n v="6853"/>
    <x v="7"/>
  </r>
  <r>
    <s v="EXP-5250"/>
    <d v="2025-08-19T00:00:00"/>
    <x v="1"/>
    <x v="2"/>
    <n v="7584"/>
    <x v="3"/>
    <x v="0"/>
    <n v="11156"/>
    <n v="3572"/>
    <x v="7"/>
  </r>
  <r>
    <s v="EXP-5251"/>
    <d v="2025-08-19T00:00:00"/>
    <x v="1"/>
    <x v="3"/>
    <n v="147207"/>
    <x v="3"/>
    <x v="0"/>
    <n v="200425"/>
    <n v="53218"/>
    <x v="7"/>
  </r>
  <r>
    <s v="EXP-5252"/>
    <d v="2025-08-27T00:00:00"/>
    <x v="1"/>
    <x v="4"/>
    <n v="45823"/>
    <x v="3"/>
    <x v="0"/>
    <n v="62789"/>
    <n v="16966"/>
    <x v="7"/>
  </r>
  <r>
    <s v="EXP-5253"/>
    <d v="2025-08-23T00:00:00"/>
    <x v="1"/>
    <x v="4"/>
    <n v="119219"/>
    <x v="3"/>
    <x v="1"/>
    <n v="119551"/>
    <n v="332"/>
    <x v="7"/>
  </r>
  <r>
    <s v="EXP-5254"/>
    <d v="2025-08-08T00:00:00"/>
    <x v="1"/>
    <x v="3"/>
    <n v="92055"/>
    <x v="0"/>
    <x v="0"/>
    <n v="136217"/>
    <n v="44162"/>
    <x v="7"/>
  </r>
  <r>
    <s v="EXP-5255"/>
    <d v="2025-08-03T00:00:00"/>
    <x v="2"/>
    <x v="0"/>
    <n v="8884"/>
    <x v="2"/>
    <x v="0"/>
    <n v="10775"/>
    <n v="1891"/>
    <x v="7"/>
  </r>
  <r>
    <s v="EXP-5256"/>
    <d v="2025-08-28T00:00:00"/>
    <x v="2"/>
    <x v="0"/>
    <n v="12891"/>
    <x v="1"/>
    <x v="0"/>
    <n v="14163"/>
    <n v="1272"/>
    <x v="7"/>
  </r>
  <r>
    <s v="EXP-5257"/>
    <d v="2025-08-24T00:00:00"/>
    <x v="2"/>
    <x v="1"/>
    <n v="147517"/>
    <x v="2"/>
    <x v="0"/>
    <n v="183452"/>
    <n v="35935"/>
    <x v="7"/>
  </r>
  <r>
    <s v="EXP-5258"/>
    <d v="2025-08-24T00:00:00"/>
    <x v="2"/>
    <x v="0"/>
    <n v="30539"/>
    <x v="0"/>
    <x v="1"/>
    <n v="45744"/>
    <n v="15205"/>
    <x v="7"/>
  </r>
  <r>
    <s v="EXP-5259"/>
    <d v="2025-08-05T00:00:00"/>
    <x v="2"/>
    <x v="5"/>
    <n v="10237"/>
    <x v="0"/>
    <x v="1"/>
    <n v="13565"/>
    <n v="3328"/>
    <x v="7"/>
  </r>
  <r>
    <s v="EXP-5260"/>
    <d v="2025-08-16T00:00:00"/>
    <x v="2"/>
    <x v="5"/>
    <n v="9509"/>
    <x v="2"/>
    <x v="0"/>
    <n v="12383"/>
    <n v="2874"/>
    <x v="7"/>
  </r>
  <r>
    <s v="EXP-5261"/>
    <d v="2025-08-16T00:00:00"/>
    <x v="2"/>
    <x v="1"/>
    <n v="147462"/>
    <x v="1"/>
    <x v="0"/>
    <n v="200186"/>
    <n v="52724"/>
    <x v="7"/>
  </r>
  <r>
    <s v="EXP-5262"/>
    <d v="2025-08-01T00:00:00"/>
    <x v="3"/>
    <x v="3"/>
    <n v="27576"/>
    <x v="0"/>
    <x v="0"/>
    <n v="41272"/>
    <n v="13696"/>
    <x v="7"/>
  </r>
  <r>
    <s v="EXP-5263"/>
    <d v="2025-08-20T00:00:00"/>
    <x v="3"/>
    <x v="3"/>
    <n v="96778"/>
    <x v="2"/>
    <x v="1"/>
    <n v="101361"/>
    <n v="4583"/>
    <x v="7"/>
  </r>
  <r>
    <s v="EXP-5264"/>
    <d v="2025-08-08T00:00:00"/>
    <x v="3"/>
    <x v="5"/>
    <n v="11425"/>
    <x v="0"/>
    <x v="0"/>
    <n v="14619"/>
    <n v="3194"/>
    <x v="7"/>
  </r>
  <r>
    <s v="EXP-5265"/>
    <d v="2025-08-14T00:00:00"/>
    <x v="3"/>
    <x v="7"/>
    <n v="29894"/>
    <x v="0"/>
    <x v="0"/>
    <n v="43518"/>
    <n v="13624"/>
    <x v="7"/>
  </r>
  <r>
    <s v="EXP-5266"/>
    <d v="2025-08-04T00:00:00"/>
    <x v="4"/>
    <x v="2"/>
    <n v="1134"/>
    <x v="3"/>
    <x v="0"/>
    <n v="1470"/>
    <n v="336"/>
    <x v="7"/>
  </r>
  <r>
    <s v="EXP-5267"/>
    <d v="2025-08-19T00:00:00"/>
    <x v="4"/>
    <x v="0"/>
    <n v="10303"/>
    <x v="2"/>
    <x v="0"/>
    <n v="14408"/>
    <n v="4105"/>
    <x v="7"/>
  </r>
  <r>
    <s v="EXP-5268"/>
    <d v="2025-08-20T00:00:00"/>
    <x v="4"/>
    <x v="7"/>
    <n v="29453"/>
    <x v="2"/>
    <x v="0"/>
    <n v="40310"/>
    <n v="10857"/>
    <x v="7"/>
  </r>
  <r>
    <s v="EXP-5269"/>
    <d v="2025-08-26T00:00:00"/>
    <x v="4"/>
    <x v="2"/>
    <n v="2273"/>
    <x v="3"/>
    <x v="0"/>
    <n v="2377"/>
    <n v="104"/>
    <x v="7"/>
  </r>
  <r>
    <s v="EXP-5270"/>
    <d v="2025-08-02T00:00:00"/>
    <x v="4"/>
    <x v="6"/>
    <n v="47380"/>
    <x v="3"/>
    <x v="1"/>
    <n v="49223"/>
    <n v="1843"/>
    <x v="7"/>
  </r>
  <r>
    <s v="EXP-5271"/>
    <d v="2025-08-25T00:00:00"/>
    <x v="5"/>
    <x v="3"/>
    <n v="95744"/>
    <x v="1"/>
    <x v="0"/>
    <n v="110228"/>
    <n v="14484"/>
    <x v="7"/>
  </r>
  <r>
    <s v="EXP-5272"/>
    <d v="2025-08-16T00:00:00"/>
    <x v="5"/>
    <x v="4"/>
    <n v="106439"/>
    <x v="0"/>
    <x v="0"/>
    <n v="126957"/>
    <n v="20518"/>
    <x v="7"/>
  </r>
  <r>
    <s v="EXP-5273"/>
    <d v="2025-08-06T00:00:00"/>
    <x v="5"/>
    <x v="0"/>
    <n v="41674"/>
    <x v="0"/>
    <x v="0"/>
    <n v="59223"/>
    <n v="17549"/>
    <x v="7"/>
  </r>
  <r>
    <s v="EXP-5274"/>
    <d v="2025-08-09T00:00:00"/>
    <x v="5"/>
    <x v="3"/>
    <n v="138475"/>
    <x v="1"/>
    <x v="1"/>
    <n v="186602"/>
    <n v="48127"/>
    <x v="7"/>
  </r>
  <r>
    <s v="EXP-5275"/>
    <d v="2025-08-12T00:00:00"/>
    <x v="5"/>
    <x v="5"/>
    <n v="3916"/>
    <x v="2"/>
    <x v="0"/>
    <n v="3966"/>
    <n v="50"/>
    <x v="7"/>
  </r>
  <r>
    <s v="EXP-5276"/>
    <d v="2025-08-24T00:00:00"/>
    <x v="5"/>
    <x v="2"/>
    <n v="3633"/>
    <x v="1"/>
    <x v="0"/>
    <n v="4313"/>
    <n v="680"/>
    <x v="7"/>
  </r>
  <r>
    <s v="EXP-5277"/>
    <d v="2025-08-11T00:00:00"/>
    <x v="5"/>
    <x v="2"/>
    <n v="545"/>
    <x v="1"/>
    <x v="0"/>
    <n v="705"/>
    <n v="160"/>
    <x v="7"/>
  </r>
  <r>
    <s v="EXP-5278"/>
    <d v="2025-08-09T00:00:00"/>
    <x v="5"/>
    <x v="6"/>
    <n v="40786"/>
    <x v="2"/>
    <x v="0"/>
    <n v="41470"/>
    <n v="684"/>
    <x v="7"/>
  </r>
  <r>
    <s v="EXP-5279"/>
    <d v="2025-09-28T00:00:00"/>
    <x v="0"/>
    <x v="6"/>
    <n v="79996"/>
    <x v="2"/>
    <x v="1"/>
    <n v="112927"/>
    <n v="32931"/>
    <x v="8"/>
  </r>
  <r>
    <s v="EXP-5280"/>
    <d v="2025-09-21T00:00:00"/>
    <x v="0"/>
    <x v="1"/>
    <n v="134111"/>
    <x v="1"/>
    <x v="0"/>
    <n v="184398"/>
    <n v="50287"/>
    <x v="8"/>
  </r>
  <r>
    <s v="EXP-5281"/>
    <d v="2025-09-05T00:00:00"/>
    <x v="0"/>
    <x v="1"/>
    <n v="56375"/>
    <x v="1"/>
    <x v="0"/>
    <n v="80924"/>
    <n v="24549"/>
    <x v="8"/>
  </r>
  <r>
    <s v="EXP-5282"/>
    <d v="2025-09-11T00:00:00"/>
    <x v="0"/>
    <x v="3"/>
    <n v="177111"/>
    <x v="1"/>
    <x v="1"/>
    <n v="240038"/>
    <n v="62927"/>
    <x v="8"/>
  </r>
  <r>
    <s v="EXP-5283"/>
    <d v="2025-09-28T00:00:00"/>
    <x v="0"/>
    <x v="6"/>
    <n v="48603"/>
    <x v="0"/>
    <x v="0"/>
    <n v="68950"/>
    <n v="20347"/>
    <x v="8"/>
  </r>
  <r>
    <s v="EXP-5284"/>
    <d v="2025-09-22T00:00:00"/>
    <x v="1"/>
    <x v="6"/>
    <n v="57844"/>
    <x v="1"/>
    <x v="0"/>
    <n v="69887"/>
    <n v="12043"/>
    <x v="8"/>
  </r>
  <r>
    <s v="EXP-5285"/>
    <d v="2025-09-15T00:00:00"/>
    <x v="1"/>
    <x v="1"/>
    <n v="79897"/>
    <x v="1"/>
    <x v="0"/>
    <n v="83251"/>
    <n v="3354"/>
    <x v="8"/>
  </r>
  <r>
    <s v="EXP-5286"/>
    <d v="2025-09-27T00:00:00"/>
    <x v="1"/>
    <x v="4"/>
    <n v="27671"/>
    <x v="1"/>
    <x v="0"/>
    <n v="36461"/>
    <n v="8790"/>
    <x v="8"/>
  </r>
  <r>
    <s v="EXP-5287"/>
    <d v="2025-09-19T00:00:00"/>
    <x v="1"/>
    <x v="5"/>
    <n v="2928"/>
    <x v="1"/>
    <x v="1"/>
    <n v="3428"/>
    <n v="500"/>
    <x v="8"/>
  </r>
  <r>
    <s v="EXP-5288"/>
    <d v="2025-09-03T00:00:00"/>
    <x v="1"/>
    <x v="0"/>
    <n v="7935"/>
    <x v="3"/>
    <x v="0"/>
    <n v="8659"/>
    <n v="724"/>
    <x v="8"/>
  </r>
  <r>
    <s v="EXP-5289"/>
    <d v="2025-09-07T00:00:00"/>
    <x v="1"/>
    <x v="6"/>
    <n v="27195"/>
    <x v="0"/>
    <x v="0"/>
    <n v="37920"/>
    <n v="10725"/>
    <x v="8"/>
  </r>
  <r>
    <s v="EXP-5290"/>
    <d v="2025-09-28T00:00:00"/>
    <x v="1"/>
    <x v="7"/>
    <n v="25311"/>
    <x v="3"/>
    <x v="0"/>
    <n v="33440"/>
    <n v="8129"/>
    <x v="8"/>
  </r>
  <r>
    <s v="EXP-5291"/>
    <d v="2025-09-19T00:00:00"/>
    <x v="2"/>
    <x v="7"/>
    <n v="8832"/>
    <x v="0"/>
    <x v="0"/>
    <n v="10064"/>
    <n v="1232"/>
    <x v="8"/>
  </r>
  <r>
    <s v="EXP-5292"/>
    <d v="2025-09-10T00:00:00"/>
    <x v="2"/>
    <x v="7"/>
    <n v="9528"/>
    <x v="0"/>
    <x v="0"/>
    <n v="10372"/>
    <n v="844"/>
    <x v="8"/>
  </r>
  <r>
    <s v="EXP-5293"/>
    <d v="2025-09-12T00:00:00"/>
    <x v="2"/>
    <x v="3"/>
    <n v="103101"/>
    <x v="2"/>
    <x v="0"/>
    <n v="132933"/>
    <n v="29832"/>
    <x v="8"/>
  </r>
  <r>
    <s v="EXP-5294"/>
    <d v="2025-09-07T00:00:00"/>
    <x v="2"/>
    <x v="4"/>
    <n v="25408"/>
    <x v="2"/>
    <x v="0"/>
    <n v="32242"/>
    <n v="6834"/>
    <x v="8"/>
  </r>
  <r>
    <s v="EXP-5295"/>
    <d v="2025-09-18T00:00:00"/>
    <x v="2"/>
    <x v="5"/>
    <n v="12463"/>
    <x v="0"/>
    <x v="0"/>
    <n v="18498"/>
    <n v="6035"/>
    <x v="8"/>
  </r>
  <r>
    <s v="EXP-5296"/>
    <d v="2025-09-02T00:00:00"/>
    <x v="2"/>
    <x v="7"/>
    <n v="10151"/>
    <x v="1"/>
    <x v="1"/>
    <n v="12525"/>
    <n v="2374"/>
    <x v="8"/>
  </r>
  <r>
    <s v="EXP-5297"/>
    <d v="2025-09-19T00:00:00"/>
    <x v="3"/>
    <x v="3"/>
    <n v="163831"/>
    <x v="2"/>
    <x v="1"/>
    <n v="190289"/>
    <n v="26458"/>
    <x v="8"/>
  </r>
  <r>
    <s v="EXP-5298"/>
    <d v="2025-09-01T00:00:00"/>
    <x v="3"/>
    <x v="0"/>
    <n v="43253"/>
    <x v="3"/>
    <x v="0"/>
    <n v="51014"/>
    <n v="7761"/>
    <x v="8"/>
  </r>
  <r>
    <s v="EXP-5299"/>
    <d v="2025-09-06T00:00:00"/>
    <x v="3"/>
    <x v="5"/>
    <n v="11614"/>
    <x v="0"/>
    <x v="0"/>
    <n v="16858"/>
    <n v="5244"/>
    <x v="8"/>
  </r>
  <r>
    <s v="EXP-5300"/>
    <d v="2025-09-20T00:00:00"/>
    <x v="3"/>
    <x v="1"/>
    <n v="15701"/>
    <x v="2"/>
    <x v="1"/>
    <n v="19147"/>
    <n v="3446"/>
    <x v="8"/>
  </r>
  <r>
    <s v="EXP-5301"/>
    <d v="2025-09-09T00:00:00"/>
    <x v="4"/>
    <x v="4"/>
    <n v="67072"/>
    <x v="0"/>
    <x v="1"/>
    <n v="95044"/>
    <n v="27972"/>
    <x v="8"/>
  </r>
  <r>
    <s v="EXP-5302"/>
    <d v="2025-09-08T00:00:00"/>
    <x v="4"/>
    <x v="4"/>
    <n v="44344"/>
    <x v="1"/>
    <x v="0"/>
    <n v="45234"/>
    <n v="890"/>
    <x v="8"/>
  </r>
  <r>
    <s v="EXP-5303"/>
    <d v="2025-09-17T00:00:00"/>
    <x v="4"/>
    <x v="4"/>
    <n v="82735"/>
    <x v="3"/>
    <x v="0"/>
    <n v="83916"/>
    <n v="1181"/>
    <x v="8"/>
  </r>
  <r>
    <s v="EXP-5304"/>
    <d v="2025-09-05T00:00:00"/>
    <x v="4"/>
    <x v="2"/>
    <n v="5152"/>
    <x v="0"/>
    <x v="0"/>
    <n v="7089"/>
    <n v="1937"/>
    <x v="8"/>
  </r>
  <r>
    <s v="EXP-5305"/>
    <d v="2025-09-06T00:00:00"/>
    <x v="4"/>
    <x v="1"/>
    <n v="100728"/>
    <x v="2"/>
    <x v="0"/>
    <n v="123831"/>
    <n v="23103"/>
    <x v="8"/>
  </r>
  <r>
    <s v="EXP-5306"/>
    <d v="2025-09-06T00:00:00"/>
    <x v="4"/>
    <x v="1"/>
    <n v="88979"/>
    <x v="3"/>
    <x v="0"/>
    <n v="102661"/>
    <n v="13682"/>
    <x v="8"/>
  </r>
  <r>
    <s v="EXP-5307"/>
    <d v="2025-09-28T00:00:00"/>
    <x v="4"/>
    <x v="2"/>
    <n v="1762"/>
    <x v="0"/>
    <x v="0"/>
    <n v="2365"/>
    <n v="603"/>
    <x v="8"/>
  </r>
  <r>
    <s v="EXP-5308"/>
    <d v="2025-09-22T00:00:00"/>
    <x v="4"/>
    <x v="5"/>
    <n v="2636"/>
    <x v="2"/>
    <x v="0"/>
    <n v="3257"/>
    <n v="621"/>
    <x v="8"/>
  </r>
  <r>
    <s v="EXP-5309"/>
    <d v="2025-09-04T00:00:00"/>
    <x v="5"/>
    <x v="3"/>
    <n v="195132"/>
    <x v="2"/>
    <x v="0"/>
    <n v="218815"/>
    <n v="23683"/>
    <x v="8"/>
  </r>
  <r>
    <s v="EXP-5310"/>
    <d v="2025-09-10T00:00:00"/>
    <x v="5"/>
    <x v="4"/>
    <n v="106352"/>
    <x v="2"/>
    <x v="1"/>
    <n v="123746"/>
    <n v="17394"/>
    <x v="8"/>
  </r>
  <r>
    <s v="EXP-5311"/>
    <d v="2025-09-24T00:00:00"/>
    <x v="5"/>
    <x v="0"/>
    <n v="24732"/>
    <x v="1"/>
    <x v="0"/>
    <n v="30770"/>
    <n v="6038"/>
    <x v="8"/>
  </r>
  <r>
    <s v="EXP-5312"/>
    <d v="2025-09-17T00:00:00"/>
    <x v="5"/>
    <x v="2"/>
    <n v="3523"/>
    <x v="1"/>
    <x v="1"/>
    <n v="4161"/>
    <n v="638"/>
    <x v="8"/>
  </r>
  <r>
    <s v="EXP-5313"/>
    <d v="2025-09-16T00:00:00"/>
    <x v="5"/>
    <x v="0"/>
    <n v="44308"/>
    <x v="3"/>
    <x v="0"/>
    <n v="49405"/>
    <n v="5097"/>
    <x v="8"/>
  </r>
  <r>
    <s v="EXP-5314"/>
    <d v="2025-09-21T00:00:00"/>
    <x v="5"/>
    <x v="4"/>
    <n v="17170"/>
    <x v="3"/>
    <x v="0"/>
    <n v="20085"/>
    <n v="2915"/>
    <x v="8"/>
  </r>
  <r>
    <s v="EXP-5315"/>
    <d v="2025-10-02T00:00:00"/>
    <x v="0"/>
    <x v="4"/>
    <n v="93509"/>
    <x v="0"/>
    <x v="0"/>
    <n v="131907"/>
    <n v="38398"/>
    <x v="9"/>
  </r>
  <r>
    <s v="EXP-5316"/>
    <d v="2025-10-04T00:00:00"/>
    <x v="0"/>
    <x v="4"/>
    <n v="94435"/>
    <x v="2"/>
    <x v="0"/>
    <n v="118863"/>
    <n v="24428"/>
    <x v="9"/>
  </r>
  <r>
    <s v="EXP-5317"/>
    <d v="2025-10-26T00:00:00"/>
    <x v="0"/>
    <x v="0"/>
    <n v="44983"/>
    <x v="1"/>
    <x v="0"/>
    <n v="64381"/>
    <n v="19398"/>
    <x v="9"/>
  </r>
  <r>
    <s v="EXP-5318"/>
    <d v="2025-10-16T00:00:00"/>
    <x v="0"/>
    <x v="4"/>
    <n v="94954"/>
    <x v="2"/>
    <x v="0"/>
    <n v="116541"/>
    <n v="21587"/>
    <x v="9"/>
  </r>
  <r>
    <s v="EXP-5319"/>
    <d v="2025-10-04T00:00:00"/>
    <x v="0"/>
    <x v="4"/>
    <n v="38901"/>
    <x v="2"/>
    <x v="1"/>
    <n v="53335"/>
    <n v="14434"/>
    <x v="9"/>
  </r>
  <r>
    <s v="EXP-5320"/>
    <d v="2025-10-12T00:00:00"/>
    <x v="1"/>
    <x v="5"/>
    <n v="14830"/>
    <x v="1"/>
    <x v="0"/>
    <n v="18797"/>
    <n v="3967"/>
    <x v="9"/>
  </r>
  <r>
    <s v="EXP-5321"/>
    <d v="2025-10-05T00:00:00"/>
    <x v="1"/>
    <x v="4"/>
    <n v="119073"/>
    <x v="1"/>
    <x v="0"/>
    <n v="159243"/>
    <n v="40170"/>
    <x v="9"/>
  </r>
  <r>
    <s v="EXP-5322"/>
    <d v="2025-10-24T00:00:00"/>
    <x v="1"/>
    <x v="2"/>
    <n v="4718"/>
    <x v="2"/>
    <x v="0"/>
    <n v="6635"/>
    <n v="1917"/>
    <x v="9"/>
  </r>
  <r>
    <s v="EXP-5323"/>
    <d v="2025-10-16T00:00:00"/>
    <x v="1"/>
    <x v="7"/>
    <n v="4305"/>
    <x v="2"/>
    <x v="0"/>
    <n v="4567"/>
    <n v="262"/>
    <x v="9"/>
  </r>
  <r>
    <s v="EXP-5324"/>
    <d v="2025-10-22T00:00:00"/>
    <x v="1"/>
    <x v="5"/>
    <n v="5134"/>
    <x v="0"/>
    <x v="0"/>
    <n v="6227"/>
    <n v="1093"/>
    <x v="9"/>
  </r>
  <r>
    <s v="EXP-5325"/>
    <d v="2025-10-01T00:00:00"/>
    <x v="1"/>
    <x v="1"/>
    <n v="86871"/>
    <x v="2"/>
    <x v="0"/>
    <n v="102372"/>
    <n v="15501"/>
    <x v="9"/>
  </r>
  <r>
    <s v="EXP-5326"/>
    <d v="2025-10-02T00:00:00"/>
    <x v="1"/>
    <x v="6"/>
    <n v="19638"/>
    <x v="2"/>
    <x v="0"/>
    <n v="23146"/>
    <n v="3508"/>
    <x v="9"/>
  </r>
  <r>
    <s v="EXP-5327"/>
    <d v="2025-10-21T00:00:00"/>
    <x v="1"/>
    <x v="0"/>
    <n v="10261"/>
    <x v="2"/>
    <x v="0"/>
    <n v="13990"/>
    <n v="3729"/>
    <x v="9"/>
  </r>
  <r>
    <s v="EXP-5328"/>
    <d v="2025-10-24T00:00:00"/>
    <x v="2"/>
    <x v="2"/>
    <n v="7263"/>
    <x v="2"/>
    <x v="0"/>
    <n v="10544"/>
    <n v="3281"/>
    <x v="9"/>
  </r>
  <r>
    <s v="EXP-5329"/>
    <d v="2025-10-24T00:00:00"/>
    <x v="2"/>
    <x v="5"/>
    <n v="1627"/>
    <x v="1"/>
    <x v="0"/>
    <n v="1746"/>
    <n v="119"/>
    <x v="9"/>
  </r>
  <r>
    <s v="EXP-5330"/>
    <d v="2025-10-14T00:00:00"/>
    <x v="2"/>
    <x v="5"/>
    <n v="11432"/>
    <x v="2"/>
    <x v="0"/>
    <n v="15715"/>
    <n v="4283"/>
    <x v="9"/>
  </r>
  <r>
    <s v="EXP-5331"/>
    <d v="2025-10-26T00:00:00"/>
    <x v="2"/>
    <x v="0"/>
    <n v="30405"/>
    <x v="3"/>
    <x v="1"/>
    <n v="45078"/>
    <n v="14673"/>
    <x v="9"/>
  </r>
  <r>
    <s v="EXP-5332"/>
    <d v="2025-10-12T00:00:00"/>
    <x v="2"/>
    <x v="2"/>
    <n v="6187"/>
    <x v="2"/>
    <x v="0"/>
    <n v="8659"/>
    <n v="2472"/>
    <x v="9"/>
  </r>
  <r>
    <s v="EXP-5333"/>
    <d v="2025-10-02T00:00:00"/>
    <x v="2"/>
    <x v="1"/>
    <n v="82575"/>
    <x v="2"/>
    <x v="0"/>
    <n v="103283"/>
    <n v="20708"/>
    <x v="9"/>
  </r>
  <r>
    <s v="EXP-5334"/>
    <d v="2025-10-14T00:00:00"/>
    <x v="3"/>
    <x v="4"/>
    <n v="32149"/>
    <x v="3"/>
    <x v="0"/>
    <n v="32450"/>
    <n v="301"/>
    <x v="9"/>
  </r>
  <r>
    <s v="EXP-5335"/>
    <d v="2025-10-01T00:00:00"/>
    <x v="3"/>
    <x v="5"/>
    <n v="2591"/>
    <x v="0"/>
    <x v="0"/>
    <n v="2878"/>
    <n v="287"/>
    <x v="9"/>
  </r>
  <r>
    <s v="EXP-5336"/>
    <d v="2025-10-27T00:00:00"/>
    <x v="3"/>
    <x v="7"/>
    <n v="26860"/>
    <x v="2"/>
    <x v="1"/>
    <n v="36423"/>
    <n v="9563"/>
    <x v="9"/>
  </r>
  <r>
    <s v="EXP-5337"/>
    <d v="2025-10-18T00:00:00"/>
    <x v="4"/>
    <x v="5"/>
    <n v="9871"/>
    <x v="1"/>
    <x v="0"/>
    <n v="11791"/>
    <n v="1920"/>
    <x v="9"/>
  </r>
  <r>
    <s v="EXP-5338"/>
    <d v="2025-10-15T00:00:00"/>
    <x v="4"/>
    <x v="5"/>
    <n v="14477"/>
    <x v="2"/>
    <x v="0"/>
    <n v="17694"/>
    <n v="3217"/>
    <x v="9"/>
  </r>
  <r>
    <s v="EXP-5339"/>
    <d v="2025-10-22T00:00:00"/>
    <x v="4"/>
    <x v="4"/>
    <n v="38514"/>
    <x v="1"/>
    <x v="0"/>
    <n v="46273"/>
    <n v="7759"/>
    <x v="9"/>
  </r>
  <r>
    <s v="EXP-5340"/>
    <d v="2025-10-17T00:00:00"/>
    <x v="4"/>
    <x v="0"/>
    <n v="15602"/>
    <x v="0"/>
    <x v="0"/>
    <n v="21437"/>
    <n v="5835"/>
    <x v="9"/>
  </r>
  <r>
    <s v="EXP-5341"/>
    <d v="2025-10-05T00:00:00"/>
    <x v="4"/>
    <x v="3"/>
    <n v="186816"/>
    <x v="3"/>
    <x v="1"/>
    <n v="230473"/>
    <n v="43657"/>
    <x v="9"/>
  </r>
  <r>
    <s v="EXP-5342"/>
    <d v="2025-10-01T00:00:00"/>
    <x v="4"/>
    <x v="4"/>
    <n v="59446"/>
    <x v="0"/>
    <x v="1"/>
    <n v="89045"/>
    <n v="29599"/>
    <x v="9"/>
  </r>
  <r>
    <s v="EXP-5343"/>
    <d v="2025-10-20T00:00:00"/>
    <x v="4"/>
    <x v="4"/>
    <n v="75463"/>
    <x v="1"/>
    <x v="0"/>
    <n v="80432"/>
    <n v="4969"/>
    <x v="9"/>
  </r>
  <r>
    <s v="EXP-5344"/>
    <d v="2025-10-28T00:00:00"/>
    <x v="5"/>
    <x v="0"/>
    <n v="39404"/>
    <x v="3"/>
    <x v="0"/>
    <n v="45105"/>
    <n v="5701"/>
    <x v="9"/>
  </r>
  <r>
    <s v="EXP-5345"/>
    <d v="2025-10-20T00:00:00"/>
    <x v="5"/>
    <x v="5"/>
    <n v="13308"/>
    <x v="0"/>
    <x v="0"/>
    <n v="14757"/>
    <n v="1449"/>
    <x v="9"/>
  </r>
  <r>
    <s v="EXP-5346"/>
    <d v="2025-10-21T00:00:00"/>
    <x v="5"/>
    <x v="0"/>
    <n v="45531"/>
    <x v="0"/>
    <x v="1"/>
    <n v="65673"/>
    <n v="20142"/>
    <x v="9"/>
  </r>
  <r>
    <s v="EXP-5347"/>
    <d v="2025-10-16T00:00:00"/>
    <x v="5"/>
    <x v="4"/>
    <n v="34504"/>
    <x v="2"/>
    <x v="0"/>
    <n v="49324"/>
    <n v="14820"/>
    <x v="9"/>
  </r>
  <r>
    <s v="EXP-5348"/>
    <d v="2025-11-27T00:00:00"/>
    <x v="0"/>
    <x v="4"/>
    <n v="42802"/>
    <x v="0"/>
    <x v="0"/>
    <n v="42873"/>
    <n v="71"/>
    <x v="10"/>
  </r>
  <r>
    <s v="EXP-5349"/>
    <d v="2025-11-14T00:00:00"/>
    <x v="0"/>
    <x v="0"/>
    <n v="27123"/>
    <x v="2"/>
    <x v="0"/>
    <n v="34991"/>
    <n v="7868"/>
    <x v="10"/>
  </r>
  <r>
    <s v="EXP-5350"/>
    <d v="2025-11-20T00:00:00"/>
    <x v="0"/>
    <x v="6"/>
    <n v="34385"/>
    <x v="1"/>
    <x v="1"/>
    <n v="36767"/>
    <n v="2382"/>
    <x v="10"/>
  </r>
  <r>
    <s v="EXP-5351"/>
    <d v="2025-11-06T00:00:00"/>
    <x v="0"/>
    <x v="6"/>
    <n v="47601"/>
    <x v="2"/>
    <x v="0"/>
    <n v="62115"/>
    <n v="14514"/>
    <x v="10"/>
  </r>
  <r>
    <s v="EXP-5352"/>
    <d v="2025-11-07T00:00:00"/>
    <x v="1"/>
    <x v="4"/>
    <n v="77359"/>
    <x v="3"/>
    <x v="0"/>
    <n v="97137"/>
    <n v="19778"/>
    <x v="10"/>
  </r>
  <r>
    <s v="EXP-5353"/>
    <d v="2025-11-07T00:00:00"/>
    <x v="1"/>
    <x v="1"/>
    <n v="133776"/>
    <x v="0"/>
    <x v="0"/>
    <n v="196459"/>
    <n v="62683"/>
    <x v="10"/>
  </r>
  <r>
    <s v="EXP-5354"/>
    <d v="2025-11-15T00:00:00"/>
    <x v="1"/>
    <x v="6"/>
    <n v="32132"/>
    <x v="3"/>
    <x v="1"/>
    <n v="41412"/>
    <n v="9280"/>
    <x v="10"/>
  </r>
  <r>
    <s v="EXP-5355"/>
    <d v="2025-11-04T00:00:00"/>
    <x v="1"/>
    <x v="1"/>
    <n v="130954"/>
    <x v="0"/>
    <x v="0"/>
    <n v="163707"/>
    <n v="32753"/>
    <x v="10"/>
  </r>
  <r>
    <s v="EXP-5356"/>
    <d v="2025-11-22T00:00:00"/>
    <x v="1"/>
    <x v="0"/>
    <n v="2451"/>
    <x v="2"/>
    <x v="1"/>
    <n v="3368"/>
    <n v="917"/>
    <x v="10"/>
  </r>
  <r>
    <s v="EXP-5357"/>
    <d v="2025-11-23T00:00:00"/>
    <x v="1"/>
    <x v="0"/>
    <n v="29334"/>
    <x v="1"/>
    <x v="1"/>
    <n v="43379"/>
    <n v="14045"/>
    <x v="10"/>
  </r>
  <r>
    <s v="EXP-5358"/>
    <d v="2025-11-02T00:00:00"/>
    <x v="1"/>
    <x v="3"/>
    <n v="136040"/>
    <x v="0"/>
    <x v="0"/>
    <n v="192344"/>
    <n v="56304"/>
    <x v="10"/>
  </r>
  <r>
    <s v="EXP-5359"/>
    <d v="2025-11-21T00:00:00"/>
    <x v="1"/>
    <x v="4"/>
    <n v="98929"/>
    <x v="2"/>
    <x v="0"/>
    <n v="144802"/>
    <n v="45873"/>
    <x v="10"/>
  </r>
  <r>
    <s v="EXP-5360"/>
    <d v="2025-11-25T00:00:00"/>
    <x v="2"/>
    <x v="7"/>
    <n v="27836"/>
    <x v="1"/>
    <x v="0"/>
    <n v="39322"/>
    <n v="11486"/>
    <x v="10"/>
  </r>
  <r>
    <s v="EXP-5361"/>
    <d v="2025-11-26T00:00:00"/>
    <x v="2"/>
    <x v="5"/>
    <n v="3325"/>
    <x v="2"/>
    <x v="0"/>
    <n v="4843"/>
    <n v="1518"/>
    <x v="10"/>
  </r>
  <r>
    <s v="EXP-5362"/>
    <d v="2025-11-15T00:00:00"/>
    <x v="2"/>
    <x v="5"/>
    <n v="11519"/>
    <x v="2"/>
    <x v="0"/>
    <n v="15514"/>
    <n v="3995"/>
    <x v="10"/>
  </r>
  <r>
    <s v="EXP-5363"/>
    <d v="2025-11-26T00:00:00"/>
    <x v="2"/>
    <x v="7"/>
    <n v="25583"/>
    <x v="2"/>
    <x v="0"/>
    <n v="31271"/>
    <n v="5688"/>
    <x v="10"/>
  </r>
  <r>
    <s v="EXP-5364"/>
    <d v="2025-11-10T00:00:00"/>
    <x v="3"/>
    <x v="6"/>
    <n v="23352"/>
    <x v="1"/>
    <x v="0"/>
    <n v="25080"/>
    <n v="1728"/>
    <x v="10"/>
  </r>
  <r>
    <s v="EXP-5365"/>
    <d v="2025-11-23T00:00:00"/>
    <x v="3"/>
    <x v="5"/>
    <n v="12694"/>
    <x v="3"/>
    <x v="1"/>
    <n v="14542"/>
    <n v="1848"/>
    <x v="10"/>
  </r>
  <r>
    <s v="EXP-5366"/>
    <d v="2025-11-24T00:00:00"/>
    <x v="3"/>
    <x v="3"/>
    <n v="186495"/>
    <x v="3"/>
    <x v="0"/>
    <n v="213992"/>
    <n v="27497"/>
    <x v="10"/>
  </r>
  <r>
    <s v="EXP-5367"/>
    <d v="2025-11-01T00:00:00"/>
    <x v="3"/>
    <x v="4"/>
    <n v="38725"/>
    <x v="3"/>
    <x v="1"/>
    <n v="51054"/>
    <n v="12329"/>
    <x v="10"/>
  </r>
  <r>
    <s v="EXP-5368"/>
    <d v="2025-11-17T00:00:00"/>
    <x v="3"/>
    <x v="6"/>
    <n v="39002"/>
    <x v="2"/>
    <x v="0"/>
    <n v="46104"/>
    <n v="7102"/>
    <x v="10"/>
  </r>
  <r>
    <s v="EXP-5369"/>
    <d v="2025-11-28T00:00:00"/>
    <x v="3"/>
    <x v="5"/>
    <n v="11548"/>
    <x v="0"/>
    <x v="1"/>
    <n v="12448"/>
    <n v="900"/>
    <x v="10"/>
  </r>
  <r>
    <s v="EXP-5370"/>
    <d v="2025-11-17T00:00:00"/>
    <x v="3"/>
    <x v="3"/>
    <n v="179968"/>
    <x v="2"/>
    <x v="0"/>
    <n v="195186"/>
    <n v="15218"/>
    <x v="10"/>
  </r>
  <r>
    <s v="EXP-5371"/>
    <d v="2025-11-07T00:00:00"/>
    <x v="4"/>
    <x v="0"/>
    <n v="24437"/>
    <x v="3"/>
    <x v="0"/>
    <n v="27184"/>
    <n v="2747"/>
    <x v="10"/>
  </r>
  <r>
    <s v="EXP-5372"/>
    <d v="2025-11-16T00:00:00"/>
    <x v="4"/>
    <x v="0"/>
    <n v="44598"/>
    <x v="2"/>
    <x v="1"/>
    <n v="48990"/>
    <n v="4392"/>
    <x v="10"/>
  </r>
  <r>
    <s v="EXP-5373"/>
    <d v="2025-11-22T00:00:00"/>
    <x v="4"/>
    <x v="2"/>
    <n v="6573"/>
    <x v="1"/>
    <x v="0"/>
    <n v="7239"/>
    <n v="666"/>
    <x v="10"/>
  </r>
  <r>
    <s v="EXP-5374"/>
    <d v="2025-11-18T00:00:00"/>
    <x v="5"/>
    <x v="0"/>
    <n v="19791"/>
    <x v="1"/>
    <x v="0"/>
    <n v="25266"/>
    <n v="5475"/>
    <x v="10"/>
  </r>
  <r>
    <s v="EXP-5375"/>
    <d v="2025-11-24T00:00:00"/>
    <x v="5"/>
    <x v="2"/>
    <n v="2504"/>
    <x v="3"/>
    <x v="0"/>
    <n v="2825"/>
    <n v="321"/>
    <x v="10"/>
  </r>
  <r>
    <s v="EXP-5376"/>
    <d v="2025-11-09T00:00:00"/>
    <x v="5"/>
    <x v="1"/>
    <n v="20546"/>
    <x v="0"/>
    <x v="0"/>
    <n v="30607"/>
    <n v="10061"/>
    <x v="10"/>
  </r>
  <r>
    <s v="EXP-5377"/>
    <d v="2025-11-07T00:00:00"/>
    <x v="5"/>
    <x v="1"/>
    <n v="146985"/>
    <x v="3"/>
    <x v="0"/>
    <n v="169236"/>
    <n v="22251"/>
    <x v="10"/>
  </r>
  <r>
    <s v="EXP-5378"/>
    <d v="2025-11-26T00:00:00"/>
    <x v="5"/>
    <x v="3"/>
    <n v="131705"/>
    <x v="1"/>
    <x v="0"/>
    <n v="138176"/>
    <n v="6471"/>
    <x v="10"/>
  </r>
  <r>
    <s v="EXP-5379"/>
    <d v="2025-11-16T00:00:00"/>
    <x v="5"/>
    <x v="3"/>
    <n v="40515"/>
    <x v="3"/>
    <x v="0"/>
    <n v="49467"/>
    <n v="8952"/>
    <x v="10"/>
  </r>
  <r>
    <s v="EXP-5380"/>
    <d v="2025-11-19T00:00:00"/>
    <x v="5"/>
    <x v="2"/>
    <n v="5401"/>
    <x v="1"/>
    <x v="1"/>
    <n v="6717"/>
    <n v="1316"/>
    <x v="10"/>
  </r>
  <r>
    <s v="EXP-5381"/>
    <d v="2025-12-26T00:00:00"/>
    <x v="0"/>
    <x v="3"/>
    <n v="178460"/>
    <x v="2"/>
    <x v="0"/>
    <n v="195842"/>
    <n v="17382"/>
    <x v="11"/>
  </r>
  <r>
    <s v="EXP-5382"/>
    <d v="2025-12-11T00:00:00"/>
    <x v="0"/>
    <x v="7"/>
    <n v="19141"/>
    <x v="2"/>
    <x v="1"/>
    <n v="25181"/>
    <n v="6040"/>
    <x v="11"/>
  </r>
  <r>
    <s v="EXP-5383"/>
    <d v="2025-12-08T00:00:00"/>
    <x v="0"/>
    <x v="7"/>
    <n v="11657"/>
    <x v="0"/>
    <x v="0"/>
    <n v="16712"/>
    <n v="5055"/>
    <x v="11"/>
  </r>
  <r>
    <s v="EXP-5384"/>
    <d v="2025-12-25T00:00:00"/>
    <x v="0"/>
    <x v="7"/>
    <n v="23510"/>
    <x v="3"/>
    <x v="0"/>
    <n v="28683"/>
    <n v="5173"/>
    <x v="11"/>
  </r>
  <r>
    <s v="EXP-5385"/>
    <d v="2025-12-03T00:00:00"/>
    <x v="0"/>
    <x v="3"/>
    <n v="139967"/>
    <x v="2"/>
    <x v="0"/>
    <n v="151383"/>
    <n v="11416"/>
    <x v="11"/>
  </r>
  <r>
    <s v="EXP-5386"/>
    <d v="2025-12-27T00:00:00"/>
    <x v="0"/>
    <x v="5"/>
    <n v="11451"/>
    <x v="3"/>
    <x v="0"/>
    <n v="15384"/>
    <n v="3933"/>
    <x v="11"/>
  </r>
  <r>
    <s v="EXP-5387"/>
    <d v="2025-12-11T00:00:00"/>
    <x v="0"/>
    <x v="2"/>
    <n v="3016"/>
    <x v="2"/>
    <x v="0"/>
    <n v="3773"/>
    <n v="757"/>
    <x v="11"/>
  </r>
  <r>
    <s v="EXP-5388"/>
    <d v="2025-12-11T00:00:00"/>
    <x v="0"/>
    <x v="2"/>
    <n v="5177"/>
    <x v="3"/>
    <x v="0"/>
    <n v="6916"/>
    <n v="1739"/>
    <x v="11"/>
  </r>
  <r>
    <s v="EXP-5389"/>
    <d v="2025-12-16T00:00:00"/>
    <x v="1"/>
    <x v="1"/>
    <n v="95375"/>
    <x v="2"/>
    <x v="0"/>
    <n v="140998"/>
    <n v="45623"/>
    <x v="11"/>
  </r>
  <r>
    <s v="EXP-5390"/>
    <d v="2025-12-10T00:00:00"/>
    <x v="1"/>
    <x v="3"/>
    <n v="89591"/>
    <x v="0"/>
    <x v="0"/>
    <n v="106201"/>
    <n v="16610"/>
    <x v="11"/>
  </r>
  <r>
    <s v="EXP-5391"/>
    <d v="2025-12-25T00:00:00"/>
    <x v="1"/>
    <x v="7"/>
    <n v="16936"/>
    <x v="2"/>
    <x v="0"/>
    <n v="21706"/>
    <n v="4770"/>
    <x v="11"/>
  </r>
  <r>
    <s v="EXP-5392"/>
    <d v="2025-12-05T00:00:00"/>
    <x v="1"/>
    <x v="4"/>
    <n v="51348"/>
    <x v="2"/>
    <x v="0"/>
    <n v="67928"/>
    <n v="16580"/>
    <x v="11"/>
  </r>
  <r>
    <s v="EXP-5393"/>
    <d v="2025-12-01T00:00:00"/>
    <x v="2"/>
    <x v="7"/>
    <n v="12659"/>
    <x v="0"/>
    <x v="0"/>
    <n v="17929"/>
    <n v="5270"/>
    <x v="11"/>
  </r>
  <r>
    <s v="EXP-5394"/>
    <d v="2025-12-17T00:00:00"/>
    <x v="2"/>
    <x v="2"/>
    <n v="7032"/>
    <x v="2"/>
    <x v="0"/>
    <n v="7788"/>
    <n v="756"/>
    <x v="11"/>
  </r>
  <r>
    <s v="EXP-5395"/>
    <d v="2025-12-16T00:00:00"/>
    <x v="2"/>
    <x v="2"/>
    <n v="1814"/>
    <x v="2"/>
    <x v="0"/>
    <n v="2109"/>
    <n v="295"/>
    <x v="11"/>
  </r>
  <r>
    <s v="EXP-5396"/>
    <d v="2025-12-19T00:00:00"/>
    <x v="2"/>
    <x v="2"/>
    <n v="2794"/>
    <x v="2"/>
    <x v="0"/>
    <n v="4173"/>
    <n v="1379"/>
    <x v="11"/>
  </r>
  <r>
    <s v="EXP-5397"/>
    <d v="2025-12-15T00:00:00"/>
    <x v="3"/>
    <x v="5"/>
    <n v="5522"/>
    <x v="0"/>
    <x v="0"/>
    <n v="7007"/>
    <n v="1485"/>
    <x v="11"/>
  </r>
  <r>
    <s v="EXP-5398"/>
    <d v="2025-12-24T00:00:00"/>
    <x v="3"/>
    <x v="0"/>
    <n v="23269"/>
    <x v="2"/>
    <x v="0"/>
    <n v="34638"/>
    <n v="11369"/>
    <x v="11"/>
  </r>
  <r>
    <s v="EXP-5399"/>
    <d v="2025-12-03T00:00:00"/>
    <x v="3"/>
    <x v="7"/>
    <n v="21811"/>
    <x v="2"/>
    <x v="0"/>
    <n v="23992"/>
    <n v="2181"/>
    <x v="11"/>
  </r>
  <r>
    <s v="EXP-5400"/>
    <d v="2025-12-10T00:00:00"/>
    <x v="3"/>
    <x v="7"/>
    <n v="21241"/>
    <x v="1"/>
    <x v="0"/>
    <n v="26881"/>
    <n v="5640"/>
    <x v="11"/>
  </r>
  <r>
    <s v="EXP-5401"/>
    <d v="2025-12-07T00:00:00"/>
    <x v="3"/>
    <x v="5"/>
    <n v="13659"/>
    <x v="3"/>
    <x v="0"/>
    <n v="16704"/>
    <n v="3045"/>
    <x v="11"/>
  </r>
  <r>
    <s v="EXP-5402"/>
    <d v="2025-12-22T00:00:00"/>
    <x v="3"/>
    <x v="3"/>
    <n v="104949"/>
    <x v="0"/>
    <x v="0"/>
    <n v="122424"/>
    <n v="17475"/>
    <x v="11"/>
  </r>
  <r>
    <s v="EXP-5403"/>
    <d v="2025-12-14T00:00:00"/>
    <x v="3"/>
    <x v="1"/>
    <n v="41245"/>
    <x v="2"/>
    <x v="0"/>
    <n v="54490"/>
    <n v="13245"/>
    <x v="11"/>
  </r>
  <r>
    <s v="EXP-5404"/>
    <d v="2025-12-19T00:00:00"/>
    <x v="3"/>
    <x v="6"/>
    <n v="72143"/>
    <x v="2"/>
    <x v="0"/>
    <n v="85615"/>
    <n v="13472"/>
    <x v="11"/>
  </r>
  <r>
    <s v="EXP-5405"/>
    <d v="2025-12-21T00:00:00"/>
    <x v="4"/>
    <x v="3"/>
    <n v="84094"/>
    <x v="1"/>
    <x v="0"/>
    <n v="108263"/>
    <n v="24169"/>
    <x v="11"/>
  </r>
  <r>
    <s v="EXP-5406"/>
    <d v="2025-12-17T00:00:00"/>
    <x v="4"/>
    <x v="0"/>
    <n v="36849"/>
    <x v="1"/>
    <x v="1"/>
    <n v="39764"/>
    <n v="2915"/>
    <x v="11"/>
  </r>
  <r>
    <s v="EXP-5407"/>
    <d v="2025-12-22T00:00:00"/>
    <x v="4"/>
    <x v="2"/>
    <n v="6659"/>
    <x v="2"/>
    <x v="0"/>
    <n v="6902"/>
    <n v="243"/>
    <x v="11"/>
  </r>
  <r>
    <s v="EXP-5408"/>
    <d v="2025-12-21T00:00:00"/>
    <x v="4"/>
    <x v="1"/>
    <n v="96620"/>
    <x v="0"/>
    <x v="0"/>
    <n v="100148"/>
    <n v="3528"/>
    <x v="11"/>
  </r>
  <r>
    <s v="EXP-5409"/>
    <d v="2025-12-01T00:00:00"/>
    <x v="4"/>
    <x v="6"/>
    <n v="57620"/>
    <x v="2"/>
    <x v="0"/>
    <n v="74178"/>
    <n v="16558"/>
    <x v="11"/>
  </r>
  <r>
    <s v="EXP-5410"/>
    <d v="2025-12-28T00:00:00"/>
    <x v="4"/>
    <x v="5"/>
    <n v="7998"/>
    <x v="3"/>
    <x v="1"/>
    <n v="8600"/>
    <n v="602"/>
    <x v="11"/>
  </r>
  <r>
    <s v="EXP-5411"/>
    <d v="2025-12-25T00:00:00"/>
    <x v="4"/>
    <x v="3"/>
    <n v="181340"/>
    <x v="0"/>
    <x v="1"/>
    <n v="241672"/>
    <n v="60332"/>
    <x v="11"/>
  </r>
  <r>
    <s v="EXP-5412"/>
    <d v="2025-12-01T00:00:00"/>
    <x v="5"/>
    <x v="2"/>
    <n v="3027"/>
    <x v="1"/>
    <x v="0"/>
    <n v="3302"/>
    <n v="275"/>
    <x v="11"/>
  </r>
  <r>
    <s v="EXP-5413"/>
    <d v="2025-12-08T00:00:00"/>
    <x v="5"/>
    <x v="0"/>
    <n v="23460"/>
    <x v="3"/>
    <x v="0"/>
    <n v="33672"/>
    <n v="10212"/>
    <x v="11"/>
  </r>
  <r>
    <s v="EXP-5414"/>
    <d v="2025-12-07T00:00:00"/>
    <x v="5"/>
    <x v="4"/>
    <n v="40530"/>
    <x v="0"/>
    <x v="0"/>
    <n v="45251"/>
    <n v="4721"/>
    <x v="11"/>
  </r>
  <r>
    <s v="EXP-5415"/>
    <d v="2025-12-28T00:00:00"/>
    <x v="5"/>
    <x v="0"/>
    <n v="26583"/>
    <x v="3"/>
    <x v="0"/>
    <n v="26921"/>
    <n v="338"/>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C21F8C-DC2F-4B4F-A22E-D96FE4E65184}" name="PT_BudgetVsActual"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5:F32" firstHeaderRow="0" firstDataRow="1" firstDataCol="1"/>
  <pivotFields count="10">
    <pivotField compact="0" outline="0" showAll="0"/>
    <pivotField compact="0" numFmtId="164" outline="0" showAll="0"/>
    <pivotField axis="axisRow" compact="0" outline="0" showAll="0">
      <items count="7">
        <item x="0"/>
        <item x="4"/>
        <item x="3"/>
        <item x="1"/>
        <item x="5"/>
        <item x="2"/>
        <item t="default"/>
      </items>
    </pivotField>
    <pivotField compact="0" outline="0" showAll="0"/>
    <pivotField dataField="1" compact="0" numFmtId="165" outline="0" showAll="0"/>
    <pivotField compact="0" outline="0" showAll="0"/>
    <pivotField compact="0" outline="0" showAll="0"/>
    <pivotField dataField="1" compact="0" numFmtId="165" outline="0" showAll="0"/>
    <pivotField compact="0" numFmtId="165" outline="0" showAll="0"/>
    <pivotField compact="0" outline="0" showAll="0">
      <items count="13">
        <item x="0"/>
        <item x="1"/>
        <item x="2"/>
        <item x="3"/>
        <item x="4"/>
        <item x="5"/>
        <item x="6"/>
        <item x="7"/>
        <item x="8"/>
        <item x="9"/>
        <item x="10"/>
        <item x="11"/>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Actual Spent" fld="4" baseField="0" baseItem="0" numFmtId="165"/>
    <dataField name="Sum of Budget Allocated" fld="7" baseField="0" baseItem="0" numFmtId="165"/>
  </dataFields>
  <formats count="12">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outline="0" fieldPosition="0">
        <references count="1">
          <reference field="2"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outline="0" fieldPosition="0">
        <references count="1">
          <reference field="2"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AC37D4-AC60-43F8-BF6A-1AC5416EF81E}" name="PT_PaymentMethod"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5:B30" firstHeaderRow="1" firstDataRow="1" firstDataCol="1"/>
  <pivotFields count="10">
    <pivotField compact="0" outline="0" showAll="0"/>
    <pivotField compact="0" numFmtId="164" outline="0" showAll="0"/>
    <pivotField compact="0" outline="0" showAll="0">
      <items count="7">
        <item x="0"/>
        <item x="4"/>
        <item x="3"/>
        <item x="1"/>
        <item x="5"/>
        <item x="2"/>
        <item t="default"/>
      </items>
    </pivotField>
    <pivotField compact="0" outline="0" showAll="0"/>
    <pivotField dataField="1" compact="0" numFmtId="165" outline="0" showAll="0"/>
    <pivotField axis="axisRow" compact="0" outline="0" showAll="0">
      <items count="5">
        <item x="3"/>
        <item x="0"/>
        <item x="2"/>
        <item x="1"/>
        <item t="default"/>
      </items>
    </pivotField>
    <pivotField compact="0" outline="0" showAll="0"/>
    <pivotField compact="0" numFmtId="165" outline="0" showAll="0"/>
    <pivotField compact="0" numFmtId="165" outline="0" showAll="0"/>
    <pivotField compact="0" outline="0" showAll="0">
      <items count="13">
        <item x="0"/>
        <item x="1"/>
        <item x="2"/>
        <item x="3"/>
        <item x="4"/>
        <item x="5"/>
        <item x="6"/>
        <item x="7"/>
        <item x="8"/>
        <item x="9"/>
        <item x="10"/>
        <item x="11"/>
        <item t="default"/>
      </items>
    </pivotField>
  </pivotFields>
  <rowFields count="1">
    <field x="5"/>
  </rowFields>
  <rowItems count="5">
    <i>
      <x/>
    </i>
    <i>
      <x v="1"/>
    </i>
    <i>
      <x v="2"/>
    </i>
    <i>
      <x v="3"/>
    </i>
    <i t="grand">
      <x/>
    </i>
  </rowItems>
  <colItems count="1">
    <i/>
  </colItems>
  <dataFields count="1">
    <dataField name="Sum of Amount (INR)" fld="4" baseField="0" baseItem="0" numFmtId="165"/>
  </dataFields>
  <formats count="12">
    <format dxfId="23">
      <pivotArea type="all" dataOnly="0" outline="0" fieldPosition="0"/>
    </format>
    <format dxfId="22">
      <pivotArea outline="0" collapsedLevelsAreSubtotals="1" fieldPosition="0"/>
    </format>
    <format dxfId="21">
      <pivotArea field="5" type="button" dataOnly="0" labelOnly="1" outline="0" axis="axisRow" fieldPosition="0"/>
    </format>
    <format dxfId="20">
      <pivotArea dataOnly="0" labelOnly="1" outline="0" fieldPosition="0">
        <references count="1">
          <reference field="5"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5" type="button" dataOnly="0" labelOnly="1" outline="0" axis="axisRow" fieldPosition="0"/>
    </format>
    <format dxfId="14">
      <pivotArea dataOnly="0" labelOnly="1" outline="0" fieldPosition="0">
        <references count="1">
          <reference field="5"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489B5F-93B8-4BE7-A34B-8545CC4090BA}" name="PT_KPI"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P4" firstHeaderRow="0" firstDataRow="1" firstDataCol="0"/>
  <pivotFields count="10">
    <pivotField dataField="1" showAll="0"/>
    <pivotField numFmtId="164" showAll="0"/>
    <pivotField showAll="0">
      <items count="7">
        <item x="0"/>
        <item x="4"/>
        <item x="3"/>
        <item x="1"/>
        <item x="5"/>
        <item x="2"/>
        <item t="default"/>
      </items>
    </pivotField>
    <pivotField showAll="0"/>
    <pivotField dataField="1" numFmtId="165" showAll="0"/>
    <pivotField showAll="0"/>
    <pivotField showAll="0"/>
    <pivotField dataField="1" numFmtId="165" showAll="0"/>
    <pivotField dataField="1" numFmtId="165" showAll="0"/>
    <pivotField showAll="0">
      <items count="13">
        <item x="0"/>
        <item x="1"/>
        <item x="2"/>
        <item x="3"/>
        <item x="4"/>
        <item x="5"/>
        <item x="6"/>
        <item x="7"/>
        <item x="8"/>
        <item x="9"/>
        <item x="10"/>
        <item x="11"/>
        <item t="default"/>
      </items>
    </pivotField>
  </pivotFields>
  <rowItems count="1">
    <i/>
  </rowItems>
  <colFields count="1">
    <field x="-2"/>
  </colFields>
  <colItems count="4">
    <i>
      <x/>
    </i>
    <i i="1">
      <x v="1"/>
    </i>
    <i i="2">
      <x v="2"/>
    </i>
    <i i="3">
      <x v="3"/>
    </i>
  </colItems>
  <dataFields count="4">
    <dataField name="Sum of Amount (INR)" fld="4" baseField="0" baseItem="0" numFmtId="165"/>
    <dataField name="Sum of Budget Allocated" fld="7" baseField="0" baseItem="0" numFmtId="165"/>
    <dataField name="Sum of Budget Remaining" fld="8" baseField="0" baseItem="0" numFmtId="165"/>
    <dataField name="Count of Expense ID" fld="0" subtotal="count" baseField="0" baseItem="0" numFmtId="3"/>
  </dataFields>
  <formats count="8">
    <format dxfId="31">
      <pivotArea outline="0" collapsedLevelsAreSubtotals="1" fieldPosition="0"/>
    </format>
    <format dxfId="30">
      <pivotArea outline="0" collapsedLevelsAreSubtotals="1" fieldPosition="0">
        <references count="1">
          <reference field="4294967294" count="1" selected="0">
            <x v="3"/>
          </reference>
        </references>
      </pivotArea>
    </format>
    <format dxfId="29">
      <pivotArea type="all" dataOnly="0" outline="0" fieldPosition="0"/>
    </format>
    <format dxfId="28">
      <pivotArea outline="0" collapsedLevelsAreSubtotals="1" fieldPosition="0"/>
    </format>
    <format dxfId="27">
      <pivotArea dataOnly="0" labelOnly="1" outline="0" fieldPosition="0">
        <references count="1">
          <reference field="4294967294" count="4">
            <x v="0"/>
            <x v="1"/>
            <x v="2"/>
            <x v="3"/>
          </reference>
        </references>
      </pivotArea>
    </format>
    <format dxfId="26">
      <pivotArea type="all" dataOnly="0" outline="0" fieldPosition="0"/>
    </format>
    <format dxfId="25">
      <pivotArea outline="0" collapsedLevelsAreSubtotals="1" fieldPosition="0"/>
    </format>
    <format dxfId="2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3B3F53-F732-41CB-BCB4-3A4DF1B6DEAD}" name="PT_ApprovedStatus"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L6" firstHeaderRow="0" firstDataRow="1" firstDataCol="1"/>
  <pivotFields count="10">
    <pivotField dataField="1" compact="0" outline="0" showAll="0"/>
    <pivotField compact="0" numFmtId="164" outline="0" showAll="0"/>
    <pivotField compact="0" outline="0" showAll="0">
      <items count="7">
        <item x="0"/>
        <item x="4"/>
        <item x="3"/>
        <item x="1"/>
        <item x="5"/>
        <item x="2"/>
        <item t="default"/>
      </items>
    </pivotField>
    <pivotField compact="0" outline="0" showAll="0"/>
    <pivotField dataField="1" compact="0" numFmtId="165" outline="0" showAll="0"/>
    <pivotField compact="0" outline="0" showAll="0"/>
    <pivotField axis="axisRow" compact="0" outline="0" showAll="0">
      <items count="3">
        <item x="1"/>
        <item x="0"/>
        <item t="default"/>
      </items>
    </pivotField>
    <pivotField compact="0" numFmtId="165" outline="0" showAll="0"/>
    <pivotField compact="0" numFmtId="165" outline="0" showAll="0"/>
    <pivotField compact="0" outline="0" showAll="0">
      <items count="13">
        <item x="0"/>
        <item x="1"/>
        <item x="2"/>
        <item x="3"/>
        <item x="4"/>
        <item x="5"/>
        <item x="6"/>
        <item x="7"/>
        <item x="8"/>
        <item x="9"/>
        <item x="10"/>
        <item x="11"/>
        <item t="default"/>
      </items>
    </pivotField>
  </pivotFields>
  <rowFields count="1">
    <field x="6"/>
  </rowFields>
  <rowItems count="3">
    <i>
      <x/>
    </i>
    <i>
      <x v="1"/>
    </i>
    <i t="grand">
      <x/>
    </i>
  </rowItems>
  <colFields count="1">
    <field x="-2"/>
  </colFields>
  <colItems count="2">
    <i>
      <x/>
    </i>
    <i i="1">
      <x v="1"/>
    </i>
  </colItems>
  <dataFields count="2">
    <dataField name="Sum of Amount (INR)" fld="4" baseField="0" baseItem="0" numFmtId="165"/>
    <dataField name="Count of Expense ID" fld="0" subtotal="count" baseField="0" baseItem="0"/>
  </dataFields>
  <formats count="1">
    <format dxfId="32">
      <pivotArea outline="0" fieldPosition="0">
        <references count="2">
          <reference field="4294967294" count="1" selected="0">
            <x v="1"/>
          </reference>
          <reference field="6"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89E8A7-4F14-4CBE-B70E-7AC42741D789}" name="PT_MonthlyTrend"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H16" firstHeaderRow="1" firstDataRow="1" firstDataCol="1"/>
  <pivotFields count="10">
    <pivotField compact="0" outline="0" showAll="0"/>
    <pivotField compact="0" numFmtId="164" outline="0" showAll="0"/>
    <pivotField compact="0" outline="0" showAll="0">
      <items count="7">
        <item x="0"/>
        <item x="4"/>
        <item x="3"/>
        <item x="1"/>
        <item x="5"/>
        <item x="2"/>
        <item t="default"/>
      </items>
    </pivotField>
    <pivotField compact="0" outline="0" showAll="0"/>
    <pivotField dataField="1" compact="0" numFmtId="165" outline="0" showAll="0"/>
    <pivotField compact="0" outline="0" showAll="0"/>
    <pivotField compact="0" outline="0" showAll="0"/>
    <pivotField compact="0" numFmtId="165" outline="0" showAll="0"/>
    <pivotField compact="0" numFmtId="165" outline="0" showAll="0"/>
    <pivotField axis="axisRow" compact="0" outline="0" showAll="0" sortType="ascending">
      <items count="13">
        <item x="0"/>
        <item x="1"/>
        <item x="2"/>
        <item x="3"/>
        <item x="4"/>
        <item x="5"/>
        <item x="6"/>
        <item x="7"/>
        <item x="8"/>
        <item x="9"/>
        <item x="10"/>
        <item x="11"/>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Amount (INR)" fld="4" baseField="0" baseItem="0" numFmtId="165"/>
  </dataFields>
  <formats count="12">
    <format dxfId="44">
      <pivotArea type="all" dataOnly="0" outline="0" fieldPosition="0"/>
    </format>
    <format dxfId="43">
      <pivotArea outline="0" collapsedLevelsAreSubtotals="1" fieldPosition="0"/>
    </format>
    <format dxfId="42">
      <pivotArea field="9" type="button" dataOnly="0" labelOnly="1" outline="0" axis="axisRow" fieldPosition="0"/>
    </format>
    <format dxfId="41">
      <pivotArea dataOnly="0" labelOnly="1" outline="0" fieldPosition="0">
        <references count="1">
          <reference field="9" count="0"/>
        </references>
      </pivotArea>
    </format>
    <format dxfId="40">
      <pivotArea dataOnly="0" labelOnly="1" grandRow="1" outline="0"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9" type="button" dataOnly="0" labelOnly="1" outline="0" axis="axisRow" fieldPosition="0"/>
    </format>
    <format dxfId="35">
      <pivotArea dataOnly="0" labelOnly="1" outline="0" fieldPosition="0">
        <references count="1">
          <reference field="9" count="0"/>
        </references>
      </pivotArea>
    </format>
    <format dxfId="34">
      <pivotArea dataOnly="0" labelOnly="1" grandRow="1" outline="0"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C84D8F-A334-4E54-86FD-76BE53CF4292}" name="PT_ExpenseByCategory"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E12" firstHeaderRow="1" firstDataRow="1" firstDataCol="1"/>
  <pivotFields count="10">
    <pivotField compact="0" outline="0" showAll="0"/>
    <pivotField compact="0" numFmtId="164" outline="0" showAll="0"/>
    <pivotField compact="0" outline="0" showAll="0">
      <items count="7">
        <item x="0"/>
        <item x="4"/>
        <item x="3"/>
        <item x="1"/>
        <item x="5"/>
        <item x="2"/>
        <item t="default"/>
      </items>
    </pivotField>
    <pivotField axis="axisRow" compact="0" outline="0" showAll="0">
      <items count="9">
        <item x="3"/>
        <item x="4"/>
        <item x="1"/>
        <item x="2"/>
        <item x="0"/>
        <item x="7"/>
        <item x="6"/>
        <item x="5"/>
        <item t="default"/>
      </items>
    </pivotField>
    <pivotField dataField="1" compact="0" numFmtId="165" outline="0" showAll="0"/>
    <pivotField compact="0" outline="0" showAll="0"/>
    <pivotField compact="0" outline="0" showAll="0"/>
    <pivotField compact="0" numFmtId="165" outline="0" showAll="0"/>
    <pivotField compact="0" numFmtId="165" outline="0" showAll="0"/>
    <pivotField compact="0" outline="0" showAll="0">
      <items count="13">
        <item x="0"/>
        <item x="1"/>
        <item x="2"/>
        <item x="3"/>
        <item x="4"/>
        <item x="5"/>
        <item x="6"/>
        <item x="7"/>
        <item x="8"/>
        <item x="9"/>
        <item x="10"/>
        <item x="11"/>
        <item t="default"/>
      </items>
    </pivotField>
  </pivotFields>
  <rowFields count="1">
    <field x="3"/>
  </rowFields>
  <rowItems count="9">
    <i>
      <x/>
    </i>
    <i>
      <x v="1"/>
    </i>
    <i>
      <x v="2"/>
    </i>
    <i>
      <x v="3"/>
    </i>
    <i>
      <x v="4"/>
    </i>
    <i>
      <x v="5"/>
    </i>
    <i>
      <x v="6"/>
    </i>
    <i>
      <x v="7"/>
    </i>
    <i t="grand">
      <x/>
    </i>
  </rowItems>
  <colItems count="1">
    <i/>
  </colItems>
  <dataFields count="1">
    <dataField name="Sum of Amount (INR)" fld="4" baseField="0" baseItem="0" numFmtId="165"/>
  </dataFields>
  <formats count="12">
    <format dxfId="56">
      <pivotArea type="all" dataOnly="0" outline="0" fieldPosition="0"/>
    </format>
    <format dxfId="55">
      <pivotArea outline="0" collapsedLevelsAreSubtotals="1" fieldPosition="0"/>
    </format>
    <format dxfId="54">
      <pivotArea field="3" type="button" dataOnly="0" labelOnly="1" outline="0" axis="axisRow" fieldPosition="0"/>
    </format>
    <format dxfId="53">
      <pivotArea dataOnly="0" labelOnly="1" outline="0" fieldPosition="0">
        <references count="1">
          <reference field="3" count="0"/>
        </references>
      </pivotArea>
    </format>
    <format dxfId="52">
      <pivotArea dataOnly="0" labelOnly="1" grandRow="1" outline="0"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3" type="button" dataOnly="0" labelOnly="1" outline="0" axis="axisRow" fieldPosition="0"/>
    </format>
    <format dxfId="47">
      <pivotArea dataOnly="0" labelOnly="1" outline="0" fieldPosition="0">
        <references count="1">
          <reference field="3" count="0"/>
        </references>
      </pivotArea>
    </format>
    <format dxfId="46">
      <pivotArea dataOnly="0" labelOnly="1" grandRow="1" outline="0"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A0630A-BEA0-4BE6-A800-53352943DC34}" name="PT_ExpenseByDepartment"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0" firstHeaderRow="1" firstDataRow="1" firstDataCol="1"/>
  <pivotFields count="10">
    <pivotField compact="0" outline="0" showAll="0"/>
    <pivotField compact="0" numFmtId="164" outline="0" showAll="0"/>
    <pivotField axis="axisRow" compact="0" outline="0" showAll="0">
      <items count="7">
        <item x="0"/>
        <item x="4"/>
        <item x="3"/>
        <item x="1"/>
        <item x="5"/>
        <item x="2"/>
        <item t="default"/>
      </items>
    </pivotField>
    <pivotField compact="0" outline="0" showAll="0"/>
    <pivotField dataField="1" compact="0" numFmtId="165" outline="0" showAll="0"/>
    <pivotField compact="0" outline="0" showAll="0"/>
    <pivotField compact="0" outline="0" showAll="0"/>
    <pivotField compact="0" numFmtId="165" outline="0" showAll="0"/>
    <pivotField compact="0" numFmtId="165" outline="0" showAll="0"/>
    <pivotField compact="0" outline="0" showAll="0">
      <items count="13">
        <item x="0"/>
        <item x="1"/>
        <item x="2"/>
        <item x="3"/>
        <item x="4"/>
        <item x="5"/>
        <item x="6"/>
        <item x="7"/>
        <item x="8"/>
        <item x="9"/>
        <item x="10"/>
        <item x="11"/>
        <item t="default"/>
      </items>
    </pivotField>
  </pivotFields>
  <rowFields count="1">
    <field x="2"/>
  </rowFields>
  <rowItems count="7">
    <i>
      <x/>
    </i>
    <i>
      <x v="1"/>
    </i>
    <i>
      <x v="2"/>
    </i>
    <i>
      <x v="3"/>
    </i>
    <i>
      <x v="4"/>
    </i>
    <i>
      <x v="5"/>
    </i>
    <i t="grand">
      <x/>
    </i>
  </rowItems>
  <colItems count="1">
    <i/>
  </colItems>
  <dataFields count="1">
    <dataField name="Sum of Amount (INR)" fld="4" baseField="0" baseItem="0" numFmtId="165"/>
  </dataFields>
  <formats count="12">
    <format dxfId="68">
      <pivotArea type="all" dataOnly="0" outline="0" fieldPosition="0"/>
    </format>
    <format dxfId="67">
      <pivotArea outline="0" collapsedLevelsAreSubtotals="1" fieldPosition="0"/>
    </format>
    <format dxfId="66">
      <pivotArea field="2" type="button" dataOnly="0" labelOnly="1" outline="0" axis="axisRow" fieldPosition="0"/>
    </format>
    <format dxfId="65">
      <pivotArea dataOnly="0" labelOnly="1" outline="0" fieldPosition="0">
        <references count="1">
          <reference field="2" count="0"/>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2" type="button" dataOnly="0" labelOnly="1" outline="0" axis="axisRow" fieldPosition="0"/>
    </format>
    <format dxfId="59">
      <pivotArea dataOnly="0" labelOnly="1" outline="0" fieldPosition="0">
        <references count="1">
          <reference field="2" count="0"/>
        </references>
      </pivotArea>
    </format>
    <format dxfId="58">
      <pivotArea dataOnly="0" labelOnly="1" grandRow="1" outline="0" fieldPosition="0"/>
    </format>
    <format dxfId="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CF2C45A-D10F-4E0A-A5DF-2D19A6175D9A}" sourceName="Month">
  <pivotTables>
    <pivotTable tabId="2" name="PT_ExpenseByDepartment"/>
    <pivotTable tabId="2" name="PT_ExpenseByCategory"/>
    <pivotTable tabId="2" name="PT_MonthlyTrend"/>
    <pivotTable tabId="2" name="PT_ApprovedStatus"/>
    <pivotTable tabId="2" name="PT_KPI"/>
    <pivotTable tabId="2" name="PT_PaymentMethod"/>
    <pivotTable tabId="2" name="PT_BudgetVsActual"/>
  </pivotTables>
  <data>
    <tabular pivotCacheId="47756866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F773702-43FD-4B61-BE74-2CE1926BA2F7}" sourceName="Department">
  <pivotTables>
    <pivotTable tabId="2" name="PT_ExpenseByDepartment"/>
    <pivotTable tabId="2" name="PT_ExpenseByCategory"/>
    <pivotTable tabId="2" name="PT_MonthlyTrend"/>
    <pivotTable tabId="2" name="PT_ApprovedStatus"/>
    <pivotTable tabId="2" name="PT_KPI"/>
    <pivotTable tabId="2" name="PT_PaymentMethod"/>
    <pivotTable tabId="2" name="PT_BudgetVsActual"/>
  </pivotTables>
  <data>
    <tabular pivotCacheId="477568660">
      <items count="6">
        <i x="0" s="1"/>
        <i x="4" s="1"/>
        <i x="3"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DDEC74D-6756-4AAC-923C-FBCA8D342B0D}" cache="Slicer_Month" caption="Month" columnCount="4" style="SlicerStyleLight6" rowHeight="251883"/>
  <slicer name="Department" xr10:uid="{43A9C8E5-342F-4F9E-80EC-DA69545DB072}" cache="Slicer_Department" caption="Department" columnCount="6" style="SlicerStyleLight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2B5AFA-47ED-4253-99CA-4F7346DF8927}" name="tblExpenses" displayName="tblExpenses" ref="A1:J416" totalsRowShown="0" headerRowDxfId="69">
  <autoFilter ref="A1:J416" xr:uid="{D22B5AFA-47ED-4253-99CA-4F7346DF8927}"/>
  <tableColumns count="10">
    <tableColumn id="1" xr3:uid="{A382CAD2-5EB5-403C-905B-385070AD8966}" name="Expense ID"/>
    <tableColumn id="2" xr3:uid="{37E52195-ED9B-4490-B681-4040B7C1FF2E}" name="Date" dataDxfId="73"/>
    <tableColumn id="3" xr3:uid="{B02353D9-BD2A-4D97-8D4B-F5CDC233CC22}" name="Department"/>
    <tableColumn id="4" xr3:uid="{D590A79F-FEE4-411F-A280-1CF9C7E8EB7E}" name="Category"/>
    <tableColumn id="5" xr3:uid="{A15940E0-8274-4CC4-9070-DFC8F70A1E41}" name="Amount (INR)" dataDxfId="72"/>
    <tableColumn id="6" xr3:uid="{BE54D453-A362-4302-AAA1-37BBEC96B258}" name="Payment Method"/>
    <tableColumn id="7" xr3:uid="{E23D6D78-439D-4E23-88C0-C78E502A63F8}" name="Approved"/>
    <tableColumn id="8" xr3:uid="{7A1100DE-D895-4DF9-8216-BDBE923A14CB}" name="Budget Allocated" dataDxfId="71"/>
    <tableColumn id="9" xr3:uid="{5CC0D328-D9AA-4E0B-84A8-370416093537}" name="Budget Remaining" dataDxfId="70"/>
    <tableColumn id="10" xr3:uid="{FBB8D851-0B0C-4A35-9494-5C23A8B044AE}" name="Month">
      <calculatedColumnFormula>TEXT(tblExpenses[[#This Row],[Date]],"mmm")</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1C64-4E89-432F-ACDF-FF3F084500C5}">
  <sheetPr>
    <pageSetUpPr fitToPage="1"/>
  </sheetPr>
  <dimension ref="A1:AF29"/>
  <sheetViews>
    <sheetView showGridLines="0" tabSelected="1" zoomScale="70" zoomScaleNormal="70" workbookViewId="0"/>
  </sheetViews>
  <sheetFormatPr defaultRowHeight="13" x14ac:dyDescent="0.3"/>
  <cols>
    <col min="1" max="30" width="7.90625" style="13" customWidth="1"/>
    <col min="31" max="31" width="8.7265625" style="13"/>
    <col min="32" max="33" width="0" style="13" hidden="1" customWidth="1"/>
    <col min="34" max="16384" width="8.7265625" style="13"/>
  </cols>
  <sheetData>
    <row r="1" spans="1:32" ht="22"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row>
    <row r="2" spans="1:32" ht="22" customHeight="1"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F2" s="14">
        <f>IFERROR(GETPIVOTDATA("Sum of Amount (INR)",Pivot!$M$3),0)</f>
        <v>18405183</v>
      </c>
    </row>
    <row r="3" spans="1:32" ht="22" customHeight="1"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F3" s="14">
        <f>IFERROR(GETPIVOTDATA("Sum of Budget Allocated",Pivot!$M$3),0)</f>
        <v>22953950</v>
      </c>
    </row>
    <row r="4" spans="1:32" ht="18" customHeight="1"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F4" s="14">
        <f>IFERROR(GETPIVOTDATA("Sum of Budget Remaining",Pivot!$M$3),0)</f>
        <v>4548767</v>
      </c>
    </row>
    <row r="5" spans="1:32" ht="18" customHeight="1"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F5" s="15">
        <f>IFERROR(GETPIVOTDATA("Count of Expense ID",Pivot!$M$3),0)</f>
        <v>415</v>
      </c>
    </row>
    <row r="6" spans="1:32" ht="18" customHeight="1"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F6" s="16">
        <f>IFERROR(GETPIVOTDATA("Count of Expense ID",Pivot!$J$3,"Approved","Yes")/AF5,0)</f>
        <v>0.81445783132530125</v>
      </c>
    </row>
    <row r="7" spans="1:32" ht="18" customHeight="1"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F7" s="14">
        <f>IFERROR(AF2/AF5,0)</f>
        <v>44349.838554216869</v>
      </c>
    </row>
    <row r="8" spans="1:32" ht="18" customHeight="1" x14ac:dyDescent="0.3">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row>
    <row r="9" spans="1:32" ht="18" customHeight="1" x14ac:dyDescent="0.3">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row>
    <row r="10" spans="1:32" ht="18" customHeight="1"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row>
    <row r="11" spans="1:32" ht="18" customHeight="1"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row>
    <row r="12" spans="1:32" ht="18" customHeight="1"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row>
    <row r="13" spans="1:32" ht="18" customHeight="1"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row>
    <row r="14" spans="1:32" ht="18" customHeight="1"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row>
    <row r="15" spans="1:32" ht="18" customHeight="1"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row>
    <row r="16" spans="1:32" ht="18" customHeight="1"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row>
    <row r="17" spans="1:30" ht="18" customHeight="1"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row>
    <row r="18" spans="1:30" ht="18" customHeight="1"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row>
    <row r="19" spans="1:30" ht="18" customHeight="1"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row>
    <row r="20" spans="1:30" ht="18" customHeight="1"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row>
    <row r="21" spans="1:30" ht="18" customHeight="1"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row>
    <row r="22" spans="1:30" ht="18" customHeight="1"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row>
    <row r="23" spans="1:30" ht="18" customHeight="1"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row>
    <row r="24" spans="1:30" ht="18" customHeight="1"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row>
    <row r="25" spans="1:30" ht="18" customHeight="1"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row>
    <row r="26" spans="1:30" ht="18" customHeight="1"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row>
    <row r="27" spans="1:30" ht="18" customHeight="1"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row>
    <row r="28" spans="1:30" ht="18" customHeight="1"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row>
    <row r="29" spans="1:30" ht="18"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CE051-732A-47AE-8624-CA5CA22166DA}">
  <sheetPr codeName="Sheet1"/>
  <dimension ref="A1:J416"/>
  <sheetViews>
    <sheetView workbookViewId="0">
      <selection activeCell="L11" sqref="L11"/>
    </sheetView>
  </sheetViews>
  <sheetFormatPr defaultRowHeight="14.5" x14ac:dyDescent="0.35"/>
  <cols>
    <col min="1" max="1" width="12.26953125" bestFit="1" customWidth="1"/>
    <col min="2" max="2" width="11.36328125" style="1" bestFit="1" customWidth="1"/>
    <col min="3" max="3" width="13.08984375" bestFit="1" customWidth="1"/>
    <col min="4" max="4" width="13" bestFit="1" customWidth="1"/>
    <col min="5" max="5" width="14.26953125" bestFit="1" customWidth="1"/>
    <col min="6" max="6" width="17.1796875" bestFit="1" customWidth="1"/>
    <col min="7" max="7" width="11" bestFit="1" customWidth="1"/>
    <col min="8" max="8" width="17.26953125" bestFit="1" customWidth="1"/>
    <col min="9" max="9" width="18.36328125" bestFit="1" customWidth="1"/>
    <col min="10" max="10" width="8.36328125" bestFit="1" customWidth="1"/>
  </cols>
  <sheetData>
    <row r="1" spans="1:10" s="4" customFormat="1" x14ac:dyDescent="0.35">
      <c r="A1" s="4" t="s">
        <v>0</v>
      </c>
      <c r="B1" s="5" t="s">
        <v>1</v>
      </c>
      <c r="C1" s="4" t="s">
        <v>2</v>
      </c>
      <c r="D1" s="4" t="s">
        <v>3</v>
      </c>
      <c r="E1" s="4" t="s">
        <v>4</v>
      </c>
      <c r="F1" s="4" t="s">
        <v>5</v>
      </c>
      <c r="G1" s="4" t="s">
        <v>6</v>
      </c>
      <c r="H1" s="4" t="s">
        <v>7</v>
      </c>
      <c r="I1" s="4" t="s">
        <v>8</v>
      </c>
      <c r="J1" s="4" t="s">
        <v>443</v>
      </c>
    </row>
    <row r="2" spans="1:10" x14ac:dyDescent="0.35">
      <c r="A2" t="s">
        <v>9</v>
      </c>
      <c r="B2" s="2">
        <v>45682</v>
      </c>
      <c r="C2" t="s">
        <v>10</v>
      </c>
      <c r="D2" t="s">
        <v>11</v>
      </c>
      <c r="E2" s="3">
        <v>7099</v>
      </c>
      <c r="F2" t="s">
        <v>12</v>
      </c>
      <c r="G2" t="s">
        <v>13</v>
      </c>
      <c r="H2" s="3">
        <v>8386</v>
      </c>
      <c r="I2" s="3">
        <v>1287</v>
      </c>
      <c r="J2" t="str">
        <f>TEXT(tblExpenses[[#This Row],[Date]],"mmm")</f>
        <v>Jan</v>
      </c>
    </row>
    <row r="3" spans="1:10" x14ac:dyDescent="0.35">
      <c r="A3" t="s">
        <v>14</v>
      </c>
      <c r="B3" s="2">
        <v>45677</v>
      </c>
      <c r="C3" t="s">
        <v>10</v>
      </c>
      <c r="D3" t="s">
        <v>15</v>
      </c>
      <c r="E3" s="3">
        <v>37909</v>
      </c>
      <c r="F3" t="s">
        <v>16</v>
      </c>
      <c r="G3" t="s">
        <v>13</v>
      </c>
      <c r="H3" s="3">
        <v>39147</v>
      </c>
      <c r="I3" s="3">
        <v>1238</v>
      </c>
      <c r="J3" t="str">
        <f>TEXT(tblExpenses[[#This Row],[Date]],"mmm")</f>
        <v>Jan</v>
      </c>
    </row>
    <row r="4" spans="1:10" x14ac:dyDescent="0.35">
      <c r="A4" t="s">
        <v>17</v>
      </c>
      <c r="B4" s="2">
        <v>45665</v>
      </c>
      <c r="C4" t="s">
        <v>10</v>
      </c>
      <c r="D4" t="s">
        <v>18</v>
      </c>
      <c r="E4" s="3">
        <v>5729</v>
      </c>
      <c r="F4" t="s">
        <v>12</v>
      </c>
      <c r="G4" t="s">
        <v>13</v>
      </c>
      <c r="H4" s="3">
        <v>8391</v>
      </c>
      <c r="I4" s="3">
        <v>2662</v>
      </c>
      <c r="J4" t="str">
        <f>TEXT(tblExpenses[[#This Row],[Date]],"mmm")</f>
        <v>Jan</v>
      </c>
    </row>
    <row r="5" spans="1:10" x14ac:dyDescent="0.35">
      <c r="A5" t="s">
        <v>19</v>
      </c>
      <c r="B5" s="2">
        <v>45660</v>
      </c>
      <c r="C5" t="s">
        <v>15</v>
      </c>
      <c r="D5" t="s">
        <v>20</v>
      </c>
      <c r="E5" s="3">
        <v>21974</v>
      </c>
      <c r="F5" t="s">
        <v>12</v>
      </c>
      <c r="G5" t="s">
        <v>13</v>
      </c>
      <c r="H5" s="3">
        <v>22502</v>
      </c>
      <c r="I5" s="3">
        <v>528</v>
      </c>
      <c r="J5" t="str">
        <f>TEXT(tblExpenses[[#This Row],[Date]],"mmm")</f>
        <v>Jan</v>
      </c>
    </row>
    <row r="6" spans="1:10" x14ac:dyDescent="0.35">
      <c r="A6" t="s">
        <v>21</v>
      </c>
      <c r="B6" s="2">
        <v>45682</v>
      </c>
      <c r="C6" t="s">
        <v>15</v>
      </c>
      <c r="D6" t="s">
        <v>22</v>
      </c>
      <c r="E6" s="3">
        <v>70564</v>
      </c>
      <c r="F6" t="s">
        <v>23</v>
      </c>
      <c r="G6" t="s">
        <v>13</v>
      </c>
      <c r="H6" s="3">
        <v>77440</v>
      </c>
      <c r="I6" s="3">
        <v>6876</v>
      </c>
      <c r="J6" t="str">
        <f>TEXT(tblExpenses[[#This Row],[Date]],"mmm")</f>
        <v>Jan</v>
      </c>
    </row>
    <row r="7" spans="1:10" x14ac:dyDescent="0.35">
      <c r="A7" t="s">
        <v>24</v>
      </c>
      <c r="B7" s="2">
        <v>45681</v>
      </c>
      <c r="C7" t="s">
        <v>15</v>
      </c>
      <c r="D7" t="s">
        <v>11</v>
      </c>
      <c r="E7" s="3">
        <v>23713</v>
      </c>
      <c r="F7" t="s">
        <v>16</v>
      </c>
      <c r="G7" t="s">
        <v>25</v>
      </c>
      <c r="H7" s="3">
        <v>28542</v>
      </c>
      <c r="I7" s="3">
        <v>4829</v>
      </c>
      <c r="J7" t="str">
        <f>TEXT(tblExpenses[[#This Row],[Date]],"mmm")</f>
        <v>Jan</v>
      </c>
    </row>
    <row r="8" spans="1:10" x14ac:dyDescent="0.35">
      <c r="A8" t="s">
        <v>26</v>
      </c>
      <c r="B8" s="2">
        <v>45685</v>
      </c>
      <c r="C8" t="s">
        <v>27</v>
      </c>
      <c r="D8" t="s">
        <v>22</v>
      </c>
      <c r="E8" s="3">
        <v>67515</v>
      </c>
      <c r="F8" t="s">
        <v>16</v>
      </c>
      <c r="G8" t="s">
        <v>13</v>
      </c>
      <c r="H8" s="3">
        <v>87309</v>
      </c>
      <c r="I8" s="3">
        <v>19794</v>
      </c>
      <c r="J8" t="str">
        <f>TEXT(tblExpenses[[#This Row],[Date]],"mmm")</f>
        <v>Jan</v>
      </c>
    </row>
    <row r="9" spans="1:10" x14ac:dyDescent="0.35">
      <c r="A9" t="s">
        <v>28</v>
      </c>
      <c r="B9" s="2">
        <v>45660</v>
      </c>
      <c r="C9" t="s">
        <v>27</v>
      </c>
      <c r="D9" t="s">
        <v>20</v>
      </c>
      <c r="E9" s="3">
        <v>30644</v>
      </c>
      <c r="F9" t="s">
        <v>29</v>
      </c>
      <c r="G9" t="s">
        <v>13</v>
      </c>
      <c r="H9" s="3">
        <v>44207</v>
      </c>
      <c r="I9" s="3">
        <v>13563</v>
      </c>
      <c r="J9" t="str">
        <f>TEXT(tblExpenses[[#This Row],[Date]],"mmm")</f>
        <v>Jan</v>
      </c>
    </row>
    <row r="10" spans="1:10" x14ac:dyDescent="0.35">
      <c r="A10" t="s">
        <v>30</v>
      </c>
      <c r="B10" s="2">
        <v>45668</v>
      </c>
      <c r="C10" t="s">
        <v>27</v>
      </c>
      <c r="D10" t="s">
        <v>31</v>
      </c>
      <c r="E10" s="3">
        <v>8331</v>
      </c>
      <c r="F10" t="s">
        <v>12</v>
      </c>
      <c r="G10" t="s">
        <v>13</v>
      </c>
      <c r="H10" s="3">
        <v>11602</v>
      </c>
      <c r="I10" s="3">
        <v>3271</v>
      </c>
      <c r="J10" t="str">
        <f>TEXT(tblExpenses[[#This Row],[Date]],"mmm")</f>
        <v>Jan</v>
      </c>
    </row>
    <row r="11" spans="1:10" x14ac:dyDescent="0.35">
      <c r="A11" t="s">
        <v>32</v>
      </c>
      <c r="B11" s="2">
        <v>45677</v>
      </c>
      <c r="C11" t="s">
        <v>27</v>
      </c>
      <c r="D11" t="s">
        <v>33</v>
      </c>
      <c r="E11" s="3">
        <v>55807</v>
      </c>
      <c r="F11" t="s">
        <v>16</v>
      </c>
      <c r="G11" t="s">
        <v>13</v>
      </c>
      <c r="H11" s="3">
        <v>62479</v>
      </c>
      <c r="I11" s="3">
        <v>6672</v>
      </c>
      <c r="J11" t="str">
        <f>TEXT(tblExpenses[[#This Row],[Date]],"mmm")</f>
        <v>Jan</v>
      </c>
    </row>
    <row r="12" spans="1:10" x14ac:dyDescent="0.35">
      <c r="A12" t="s">
        <v>34</v>
      </c>
      <c r="B12" s="2">
        <v>45662</v>
      </c>
      <c r="C12" t="s">
        <v>27</v>
      </c>
      <c r="D12" t="s">
        <v>20</v>
      </c>
      <c r="E12" s="3">
        <v>35534</v>
      </c>
      <c r="F12" t="s">
        <v>12</v>
      </c>
      <c r="G12" t="s">
        <v>25</v>
      </c>
      <c r="H12" s="3">
        <v>49832</v>
      </c>
      <c r="I12" s="3">
        <v>14298</v>
      </c>
      <c r="J12" t="str">
        <f>TEXT(tblExpenses[[#This Row],[Date]],"mmm")</f>
        <v>Jan</v>
      </c>
    </row>
    <row r="13" spans="1:10" x14ac:dyDescent="0.35">
      <c r="A13" t="s">
        <v>35</v>
      </c>
      <c r="B13" s="2">
        <v>45667</v>
      </c>
      <c r="C13" t="s">
        <v>27</v>
      </c>
      <c r="D13" t="s">
        <v>11</v>
      </c>
      <c r="E13" s="3">
        <v>31806</v>
      </c>
      <c r="F13" t="s">
        <v>29</v>
      </c>
      <c r="G13" t="s">
        <v>13</v>
      </c>
      <c r="H13" s="3">
        <v>36795</v>
      </c>
      <c r="I13" s="3">
        <v>4989</v>
      </c>
      <c r="J13" t="str">
        <f>TEXT(tblExpenses[[#This Row],[Date]],"mmm")</f>
        <v>Jan</v>
      </c>
    </row>
    <row r="14" spans="1:10" x14ac:dyDescent="0.35">
      <c r="A14" t="s">
        <v>36</v>
      </c>
      <c r="B14" s="2">
        <v>45663</v>
      </c>
      <c r="C14" t="s">
        <v>27</v>
      </c>
      <c r="D14" t="s">
        <v>31</v>
      </c>
      <c r="E14" s="3">
        <v>6789</v>
      </c>
      <c r="F14" t="s">
        <v>23</v>
      </c>
      <c r="G14" t="s">
        <v>13</v>
      </c>
      <c r="H14" s="3">
        <v>7092</v>
      </c>
      <c r="I14" s="3">
        <v>303</v>
      </c>
      <c r="J14" t="str">
        <f>TEXT(tblExpenses[[#This Row],[Date]],"mmm")</f>
        <v>Jan</v>
      </c>
    </row>
    <row r="15" spans="1:10" x14ac:dyDescent="0.35">
      <c r="A15" t="s">
        <v>37</v>
      </c>
      <c r="B15" s="2">
        <v>45673</v>
      </c>
      <c r="C15" t="s">
        <v>38</v>
      </c>
      <c r="D15" t="s">
        <v>15</v>
      </c>
      <c r="E15" s="3">
        <v>42497</v>
      </c>
      <c r="F15" t="s">
        <v>16</v>
      </c>
      <c r="G15" t="s">
        <v>13</v>
      </c>
      <c r="H15" s="3">
        <v>63144</v>
      </c>
      <c r="I15" s="3">
        <v>20647</v>
      </c>
      <c r="J15" t="str">
        <f>TEXT(tblExpenses[[#This Row],[Date]],"mmm")</f>
        <v>Jan</v>
      </c>
    </row>
    <row r="16" spans="1:10" x14ac:dyDescent="0.35">
      <c r="A16" t="s">
        <v>39</v>
      </c>
      <c r="B16" s="2">
        <v>45679</v>
      </c>
      <c r="C16" t="s">
        <v>38</v>
      </c>
      <c r="D16" t="s">
        <v>22</v>
      </c>
      <c r="E16" s="3">
        <v>117328</v>
      </c>
      <c r="F16" t="s">
        <v>29</v>
      </c>
      <c r="G16" t="s">
        <v>13</v>
      </c>
      <c r="H16" s="3">
        <v>153681</v>
      </c>
      <c r="I16" s="3">
        <v>36353</v>
      </c>
      <c r="J16" t="str">
        <f>TEXT(tblExpenses[[#This Row],[Date]],"mmm")</f>
        <v>Jan</v>
      </c>
    </row>
    <row r="17" spans="1:10" x14ac:dyDescent="0.35">
      <c r="A17" t="s">
        <v>40</v>
      </c>
      <c r="B17" s="2">
        <v>45671</v>
      </c>
      <c r="C17" t="s">
        <v>38</v>
      </c>
      <c r="D17" t="s">
        <v>31</v>
      </c>
      <c r="E17" s="3">
        <v>7122</v>
      </c>
      <c r="F17" t="s">
        <v>23</v>
      </c>
      <c r="G17" t="s">
        <v>13</v>
      </c>
      <c r="H17" s="3">
        <v>7419</v>
      </c>
      <c r="I17" s="3">
        <v>297</v>
      </c>
      <c r="J17" t="str">
        <f>TEXT(tblExpenses[[#This Row],[Date]],"mmm")</f>
        <v>Jan</v>
      </c>
    </row>
    <row r="18" spans="1:10" x14ac:dyDescent="0.35">
      <c r="A18" t="s">
        <v>41</v>
      </c>
      <c r="B18" s="2">
        <v>45675</v>
      </c>
      <c r="C18" t="s">
        <v>38</v>
      </c>
      <c r="D18" t="s">
        <v>33</v>
      </c>
      <c r="E18" s="3">
        <v>37088</v>
      </c>
      <c r="F18" t="s">
        <v>16</v>
      </c>
      <c r="G18" t="s">
        <v>13</v>
      </c>
      <c r="H18" s="3">
        <v>50064</v>
      </c>
      <c r="I18" s="3">
        <v>12976</v>
      </c>
      <c r="J18" t="str">
        <f>TEXT(tblExpenses[[#This Row],[Date]],"mmm")</f>
        <v>Jan</v>
      </c>
    </row>
    <row r="19" spans="1:10" x14ac:dyDescent="0.35">
      <c r="A19" t="s">
        <v>42</v>
      </c>
      <c r="B19" s="2">
        <v>45685</v>
      </c>
      <c r="C19" t="s">
        <v>38</v>
      </c>
      <c r="D19" t="s">
        <v>22</v>
      </c>
      <c r="E19" s="3">
        <v>25736</v>
      </c>
      <c r="F19" t="s">
        <v>16</v>
      </c>
      <c r="G19" t="s">
        <v>13</v>
      </c>
      <c r="H19" s="3">
        <v>33072</v>
      </c>
      <c r="I19" s="3">
        <v>7336</v>
      </c>
      <c r="J19" t="str">
        <f>TEXT(tblExpenses[[#This Row],[Date]],"mmm")</f>
        <v>Jan</v>
      </c>
    </row>
    <row r="20" spans="1:10" x14ac:dyDescent="0.35">
      <c r="A20" t="s">
        <v>43</v>
      </c>
      <c r="B20" s="2">
        <v>45678</v>
      </c>
      <c r="C20" t="s">
        <v>38</v>
      </c>
      <c r="D20" t="s">
        <v>11</v>
      </c>
      <c r="E20" s="3">
        <v>24867</v>
      </c>
      <c r="F20" t="s">
        <v>23</v>
      </c>
      <c r="G20" t="s">
        <v>13</v>
      </c>
      <c r="H20" s="3">
        <v>30659</v>
      </c>
      <c r="I20" s="3">
        <v>5792</v>
      </c>
      <c r="J20" t="str">
        <f>TEXT(tblExpenses[[#This Row],[Date]],"mmm")</f>
        <v>Jan</v>
      </c>
    </row>
    <row r="21" spans="1:10" x14ac:dyDescent="0.35">
      <c r="A21" t="s">
        <v>44</v>
      </c>
      <c r="B21" s="2">
        <v>45664</v>
      </c>
      <c r="C21" t="s">
        <v>45</v>
      </c>
      <c r="D21" t="s">
        <v>11</v>
      </c>
      <c r="E21" s="3">
        <v>28014</v>
      </c>
      <c r="F21" t="s">
        <v>23</v>
      </c>
      <c r="G21" t="s">
        <v>13</v>
      </c>
      <c r="H21" s="3">
        <v>38774</v>
      </c>
      <c r="I21" s="3">
        <v>10760</v>
      </c>
      <c r="J21" t="str">
        <f>TEXT(tblExpenses[[#This Row],[Date]],"mmm")</f>
        <v>Jan</v>
      </c>
    </row>
    <row r="22" spans="1:10" x14ac:dyDescent="0.35">
      <c r="A22" t="s">
        <v>46</v>
      </c>
      <c r="B22" s="2">
        <v>45680</v>
      </c>
      <c r="C22" t="s">
        <v>45</v>
      </c>
      <c r="D22" t="s">
        <v>31</v>
      </c>
      <c r="E22" s="3">
        <v>10901</v>
      </c>
      <c r="F22" t="s">
        <v>23</v>
      </c>
      <c r="G22" t="s">
        <v>13</v>
      </c>
      <c r="H22" s="3">
        <v>13552</v>
      </c>
      <c r="I22" s="3">
        <v>2651</v>
      </c>
      <c r="J22" t="str">
        <f>TEXT(tblExpenses[[#This Row],[Date]],"mmm")</f>
        <v>Jan</v>
      </c>
    </row>
    <row r="23" spans="1:10" x14ac:dyDescent="0.35">
      <c r="A23" t="s">
        <v>47</v>
      </c>
      <c r="B23" s="2">
        <v>45673</v>
      </c>
      <c r="C23" t="s">
        <v>45</v>
      </c>
      <c r="D23" t="s">
        <v>33</v>
      </c>
      <c r="E23" s="3">
        <v>76444</v>
      </c>
      <c r="F23" t="s">
        <v>29</v>
      </c>
      <c r="G23" t="s">
        <v>13</v>
      </c>
      <c r="H23" s="3">
        <v>82397</v>
      </c>
      <c r="I23" s="3">
        <v>5953</v>
      </c>
      <c r="J23" t="str">
        <f>TEXT(tblExpenses[[#This Row],[Date]],"mmm")</f>
        <v>Jan</v>
      </c>
    </row>
    <row r="24" spans="1:10" x14ac:dyDescent="0.35">
      <c r="A24" t="s">
        <v>48</v>
      </c>
      <c r="B24" s="2">
        <v>45683</v>
      </c>
      <c r="C24" t="s">
        <v>45</v>
      </c>
      <c r="D24" t="s">
        <v>33</v>
      </c>
      <c r="E24" s="3">
        <v>54844</v>
      </c>
      <c r="F24" t="s">
        <v>12</v>
      </c>
      <c r="G24" t="s">
        <v>13</v>
      </c>
      <c r="H24" s="3">
        <v>56555</v>
      </c>
      <c r="I24" s="3">
        <v>1711</v>
      </c>
      <c r="J24" t="str">
        <f>TEXT(tblExpenses[[#This Row],[Date]],"mmm")</f>
        <v>Jan</v>
      </c>
    </row>
    <row r="25" spans="1:10" x14ac:dyDescent="0.35">
      <c r="A25" t="s">
        <v>49</v>
      </c>
      <c r="B25" s="2">
        <v>45682</v>
      </c>
      <c r="C25" t="s">
        <v>45</v>
      </c>
      <c r="D25" t="s">
        <v>33</v>
      </c>
      <c r="E25" s="3">
        <v>32720</v>
      </c>
      <c r="F25" t="s">
        <v>23</v>
      </c>
      <c r="G25" t="s">
        <v>13</v>
      </c>
      <c r="H25" s="3">
        <v>46921</v>
      </c>
      <c r="I25" s="3">
        <v>14201</v>
      </c>
      <c r="J25" t="str">
        <f>TEXT(tblExpenses[[#This Row],[Date]],"mmm")</f>
        <v>Jan</v>
      </c>
    </row>
    <row r="26" spans="1:10" x14ac:dyDescent="0.35">
      <c r="A26" t="s">
        <v>50</v>
      </c>
      <c r="B26" s="2">
        <v>45666</v>
      </c>
      <c r="C26" t="s">
        <v>45</v>
      </c>
      <c r="D26" t="s">
        <v>15</v>
      </c>
      <c r="E26" s="3">
        <v>31912</v>
      </c>
      <c r="F26" t="s">
        <v>23</v>
      </c>
      <c r="G26" t="s">
        <v>13</v>
      </c>
      <c r="H26" s="3">
        <v>34174</v>
      </c>
      <c r="I26" s="3">
        <v>2262</v>
      </c>
      <c r="J26" t="str">
        <f>TEXT(tblExpenses[[#This Row],[Date]],"mmm")</f>
        <v>Jan</v>
      </c>
    </row>
    <row r="27" spans="1:10" x14ac:dyDescent="0.35">
      <c r="A27" t="s">
        <v>51</v>
      </c>
      <c r="B27" s="2">
        <v>45666</v>
      </c>
      <c r="C27" t="s">
        <v>45</v>
      </c>
      <c r="D27" t="s">
        <v>22</v>
      </c>
      <c r="E27" s="3">
        <v>73783</v>
      </c>
      <c r="F27" t="s">
        <v>29</v>
      </c>
      <c r="G27" t="s">
        <v>13</v>
      </c>
      <c r="H27" s="3">
        <v>81682</v>
      </c>
      <c r="I27" s="3">
        <v>7899</v>
      </c>
      <c r="J27" t="str">
        <f>TEXT(tblExpenses[[#This Row],[Date]],"mmm")</f>
        <v>Jan</v>
      </c>
    </row>
    <row r="28" spans="1:10" x14ac:dyDescent="0.35">
      <c r="A28" t="s">
        <v>52</v>
      </c>
      <c r="B28" s="2">
        <v>45664</v>
      </c>
      <c r="C28" t="s">
        <v>45</v>
      </c>
      <c r="D28" t="s">
        <v>31</v>
      </c>
      <c r="E28" s="3">
        <v>13340</v>
      </c>
      <c r="F28" t="s">
        <v>12</v>
      </c>
      <c r="G28" t="s">
        <v>13</v>
      </c>
      <c r="H28" s="3">
        <v>15320</v>
      </c>
      <c r="I28" s="3">
        <v>1980</v>
      </c>
      <c r="J28" t="str">
        <f>TEXT(tblExpenses[[#This Row],[Date]],"mmm")</f>
        <v>Jan</v>
      </c>
    </row>
    <row r="29" spans="1:10" x14ac:dyDescent="0.35">
      <c r="A29" t="s">
        <v>53</v>
      </c>
      <c r="B29" s="2">
        <v>45680</v>
      </c>
      <c r="C29" t="s">
        <v>54</v>
      </c>
      <c r="D29" t="s">
        <v>15</v>
      </c>
      <c r="E29" s="3">
        <v>124500</v>
      </c>
      <c r="F29" t="s">
        <v>23</v>
      </c>
      <c r="G29" t="s">
        <v>13</v>
      </c>
      <c r="H29" s="3">
        <v>146580</v>
      </c>
      <c r="I29" s="3">
        <v>22080</v>
      </c>
      <c r="J29" t="str">
        <f>TEXT(tblExpenses[[#This Row],[Date]],"mmm")</f>
        <v>Jan</v>
      </c>
    </row>
    <row r="30" spans="1:10" x14ac:dyDescent="0.35">
      <c r="A30" t="s">
        <v>55</v>
      </c>
      <c r="B30" s="2">
        <v>45676</v>
      </c>
      <c r="C30" t="s">
        <v>54</v>
      </c>
      <c r="D30" t="s">
        <v>18</v>
      </c>
      <c r="E30" s="3">
        <v>1137</v>
      </c>
      <c r="F30" t="s">
        <v>29</v>
      </c>
      <c r="G30" t="s">
        <v>13</v>
      </c>
      <c r="H30" s="3">
        <v>1548</v>
      </c>
      <c r="I30" s="3">
        <v>411</v>
      </c>
      <c r="J30" t="str">
        <f>TEXT(tblExpenses[[#This Row],[Date]],"mmm")</f>
        <v>Jan</v>
      </c>
    </row>
    <row r="31" spans="1:10" x14ac:dyDescent="0.35">
      <c r="A31" t="s">
        <v>56</v>
      </c>
      <c r="B31" s="2">
        <v>45673</v>
      </c>
      <c r="C31" t="s">
        <v>54</v>
      </c>
      <c r="D31" t="s">
        <v>15</v>
      </c>
      <c r="E31" s="3">
        <v>130234</v>
      </c>
      <c r="F31" t="s">
        <v>12</v>
      </c>
      <c r="G31" t="s">
        <v>13</v>
      </c>
      <c r="H31" s="3">
        <v>191042</v>
      </c>
      <c r="I31" s="3">
        <v>60808</v>
      </c>
      <c r="J31" t="str">
        <f>TEXT(tblExpenses[[#This Row],[Date]],"mmm")</f>
        <v>Jan</v>
      </c>
    </row>
    <row r="32" spans="1:10" x14ac:dyDescent="0.35">
      <c r="A32" t="s">
        <v>57</v>
      </c>
      <c r="B32" s="2">
        <v>45685</v>
      </c>
      <c r="C32" t="s">
        <v>54</v>
      </c>
      <c r="D32" t="s">
        <v>33</v>
      </c>
      <c r="E32" s="3">
        <v>64055</v>
      </c>
      <c r="F32" t="s">
        <v>29</v>
      </c>
      <c r="G32" t="s">
        <v>13</v>
      </c>
      <c r="H32" s="3">
        <v>94267</v>
      </c>
      <c r="I32" s="3">
        <v>30212</v>
      </c>
      <c r="J32" t="str">
        <f>TEXT(tblExpenses[[#This Row],[Date]],"mmm")</f>
        <v>Jan</v>
      </c>
    </row>
    <row r="33" spans="1:10" x14ac:dyDescent="0.35">
      <c r="A33" t="s">
        <v>58</v>
      </c>
      <c r="B33" s="2">
        <v>45664</v>
      </c>
      <c r="C33" t="s">
        <v>54</v>
      </c>
      <c r="D33" t="s">
        <v>33</v>
      </c>
      <c r="E33" s="3">
        <v>33655</v>
      </c>
      <c r="F33" t="s">
        <v>23</v>
      </c>
      <c r="G33" t="s">
        <v>25</v>
      </c>
      <c r="H33" s="3">
        <v>46203</v>
      </c>
      <c r="I33" s="3">
        <v>12548</v>
      </c>
      <c r="J33" t="str">
        <f>TEXT(tblExpenses[[#This Row],[Date]],"mmm")</f>
        <v>Jan</v>
      </c>
    </row>
    <row r="34" spans="1:10" x14ac:dyDescent="0.35">
      <c r="A34" t="s">
        <v>59</v>
      </c>
      <c r="B34" s="2">
        <v>45664</v>
      </c>
      <c r="C34" t="s">
        <v>54</v>
      </c>
      <c r="D34" t="s">
        <v>22</v>
      </c>
      <c r="E34" s="3">
        <v>33329</v>
      </c>
      <c r="F34" t="s">
        <v>16</v>
      </c>
      <c r="G34" t="s">
        <v>13</v>
      </c>
      <c r="H34" s="3">
        <v>39130</v>
      </c>
      <c r="I34" s="3">
        <v>5801</v>
      </c>
      <c r="J34" t="str">
        <f>TEXT(tblExpenses[[#This Row],[Date]],"mmm")</f>
        <v>Jan</v>
      </c>
    </row>
    <row r="35" spans="1:10" x14ac:dyDescent="0.35">
      <c r="A35" t="s">
        <v>60</v>
      </c>
      <c r="B35" s="2">
        <v>45685</v>
      </c>
      <c r="C35" t="s">
        <v>54</v>
      </c>
      <c r="D35" t="s">
        <v>61</v>
      </c>
      <c r="E35" s="3">
        <v>13058</v>
      </c>
      <c r="F35" t="s">
        <v>16</v>
      </c>
      <c r="G35" t="s">
        <v>13</v>
      </c>
      <c r="H35" s="3">
        <v>16336</v>
      </c>
      <c r="I35" s="3">
        <v>3278</v>
      </c>
      <c r="J35" t="str">
        <f>TEXT(tblExpenses[[#This Row],[Date]],"mmm")</f>
        <v>Jan</v>
      </c>
    </row>
    <row r="36" spans="1:10" x14ac:dyDescent="0.35">
      <c r="A36" t="s">
        <v>62</v>
      </c>
      <c r="B36" s="2">
        <v>45702</v>
      </c>
      <c r="C36" t="s">
        <v>10</v>
      </c>
      <c r="D36" t="s">
        <v>31</v>
      </c>
      <c r="E36" s="3">
        <v>6770</v>
      </c>
      <c r="F36" t="s">
        <v>12</v>
      </c>
      <c r="G36" t="s">
        <v>13</v>
      </c>
      <c r="H36" s="3">
        <v>9573</v>
      </c>
      <c r="I36" s="3">
        <v>2803</v>
      </c>
      <c r="J36" t="str">
        <f>TEXT(tblExpenses[[#This Row],[Date]],"mmm")</f>
        <v>Feb</v>
      </c>
    </row>
    <row r="37" spans="1:10" x14ac:dyDescent="0.35">
      <c r="A37" t="s">
        <v>63</v>
      </c>
      <c r="B37" s="2">
        <v>45708</v>
      </c>
      <c r="C37" t="s">
        <v>10</v>
      </c>
      <c r="D37" t="s">
        <v>22</v>
      </c>
      <c r="E37" s="3">
        <v>53905</v>
      </c>
      <c r="F37" t="s">
        <v>29</v>
      </c>
      <c r="G37" t="s">
        <v>25</v>
      </c>
      <c r="H37" s="3">
        <v>58673</v>
      </c>
      <c r="I37" s="3">
        <v>4768</v>
      </c>
      <c r="J37" t="str">
        <f>TEXT(tblExpenses[[#This Row],[Date]],"mmm")</f>
        <v>Feb</v>
      </c>
    </row>
    <row r="38" spans="1:10" x14ac:dyDescent="0.35">
      <c r="A38" t="s">
        <v>64</v>
      </c>
      <c r="B38" s="2">
        <v>45702</v>
      </c>
      <c r="C38" t="s">
        <v>10</v>
      </c>
      <c r="D38" t="s">
        <v>61</v>
      </c>
      <c r="E38" s="3">
        <v>24613</v>
      </c>
      <c r="F38" t="s">
        <v>12</v>
      </c>
      <c r="G38" t="s">
        <v>25</v>
      </c>
      <c r="H38" s="3">
        <v>33087</v>
      </c>
      <c r="I38" s="3">
        <v>8474</v>
      </c>
      <c r="J38" t="str">
        <f>TEXT(tblExpenses[[#This Row],[Date]],"mmm")</f>
        <v>Feb</v>
      </c>
    </row>
    <row r="39" spans="1:10" x14ac:dyDescent="0.35">
      <c r="A39" t="s">
        <v>65</v>
      </c>
      <c r="B39" s="2">
        <v>45708</v>
      </c>
      <c r="C39" t="s">
        <v>10</v>
      </c>
      <c r="D39" t="s">
        <v>11</v>
      </c>
      <c r="E39" s="3">
        <v>7874</v>
      </c>
      <c r="F39" t="s">
        <v>23</v>
      </c>
      <c r="G39" t="s">
        <v>13</v>
      </c>
      <c r="H39" s="3">
        <v>10432</v>
      </c>
      <c r="I39" s="3">
        <v>2558</v>
      </c>
      <c r="J39" t="str">
        <f>TEXT(tblExpenses[[#This Row],[Date]],"mmm")</f>
        <v>Feb</v>
      </c>
    </row>
    <row r="40" spans="1:10" x14ac:dyDescent="0.35">
      <c r="A40" t="s">
        <v>66</v>
      </c>
      <c r="B40" s="2">
        <v>45707</v>
      </c>
      <c r="C40" t="s">
        <v>10</v>
      </c>
      <c r="D40" t="s">
        <v>11</v>
      </c>
      <c r="E40" s="3">
        <v>43518</v>
      </c>
      <c r="F40" t="s">
        <v>16</v>
      </c>
      <c r="G40" t="s">
        <v>13</v>
      </c>
      <c r="H40" s="3">
        <v>53181</v>
      </c>
      <c r="I40" s="3">
        <v>9663</v>
      </c>
      <c r="J40" t="str">
        <f>TEXT(tblExpenses[[#This Row],[Date]],"mmm")</f>
        <v>Feb</v>
      </c>
    </row>
    <row r="41" spans="1:10" x14ac:dyDescent="0.35">
      <c r="A41" t="s">
        <v>67</v>
      </c>
      <c r="B41" s="2">
        <v>45701</v>
      </c>
      <c r="C41" t="s">
        <v>10</v>
      </c>
      <c r="D41" t="s">
        <v>18</v>
      </c>
      <c r="E41" s="3">
        <v>6864</v>
      </c>
      <c r="F41" t="s">
        <v>16</v>
      </c>
      <c r="G41" t="s">
        <v>13</v>
      </c>
      <c r="H41" s="3">
        <v>8424</v>
      </c>
      <c r="I41" s="3">
        <v>1560</v>
      </c>
      <c r="J41" t="str">
        <f>TEXT(tblExpenses[[#This Row],[Date]],"mmm")</f>
        <v>Feb</v>
      </c>
    </row>
    <row r="42" spans="1:10" x14ac:dyDescent="0.35">
      <c r="A42" t="s">
        <v>68</v>
      </c>
      <c r="B42" s="2">
        <v>45709</v>
      </c>
      <c r="C42" t="s">
        <v>15</v>
      </c>
      <c r="D42" t="s">
        <v>20</v>
      </c>
      <c r="E42" s="3">
        <v>118248</v>
      </c>
      <c r="F42" t="s">
        <v>23</v>
      </c>
      <c r="G42" t="s">
        <v>13</v>
      </c>
      <c r="H42" s="3">
        <v>171932</v>
      </c>
      <c r="I42" s="3">
        <v>53684</v>
      </c>
      <c r="J42" t="str">
        <f>TEXT(tblExpenses[[#This Row],[Date]],"mmm")</f>
        <v>Feb</v>
      </c>
    </row>
    <row r="43" spans="1:10" x14ac:dyDescent="0.35">
      <c r="A43" t="s">
        <v>69</v>
      </c>
      <c r="B43" s="2">
        <v>45697</v>
      </c>
      <c r="C43" t="s">
        <v>15</v>
      </c>
      <c r="D43" t="s">
        <v>61</v>
      </c>
      <c r="E43" s="3">
        <v>11769</v>
      </c>
      <c r="F43" t="s">
        <v>12</v>
      </c>
      <c r="G43" t="s">
        <v>13</v>
      </c>
      <c r="H43" s="3">
        <v>16945</v>
      </c>
      <c r="I43" s="3">
        <v>5176</v>
      </c>
      <c r="J43" t="str">
        <f>TEXT(tblExpenses[[#This Row],[Date]],"mmm")</f>
        <v>Feb</v>
      </c>
    </row>
    <row r="44" spans="1:10" x14ac:dyDescent="0.35">
      <c r="A44" t="s">
        <v>70</v>
      </c>
      <c r="B44" s="2">
        <v>45693</v>
      </c>
      <c r="C44" t="s">
        <v>15</v>
      </c>
      <c r="D44" t="s">
        <v>22</v>
      </c>
      <c r="E44" s="3">
        <v>9282</v>
      </c>
      <c r="F44" t="s">
        <v>12</v>
      </c>
      <c r="G44" t="s">
        <v>25</v>
      </c>
      <c r="H44" s="3">
        <v>9354</v>
      </c>
      <c r="I44" s="3">
        <v>72</v>
      </c>
      <c r="J44" t="str">
        <f>TEXT(tblExpenses[[#This Row],[Date]],"mmm")</f>
        <v>Feb</v>
      </c>
    </row>
    <row r="45" spans="1:10" x14ac:dyDescent="0.35">
      <c r="A45" t="s">
        <v>71</v>
      </c>
      <c r="B45" s="2">
        <v>45702</v>
      </c>
      <c r="C45" t="s">
        <v>15</v>
      </c>
      <c r="D45" t="s">
        <v>31</v>
      </c>
      <c r="E45" s="3">
        <v>3792</v>
      </c>
      <c r="F45" t="s">
        <v>29</v>
      </c>
      <c r="G45" t="s">
        <v>25</v>
      </c>
      <c r="H45" s="3">
        <v>5611</v>
      </c>
      <c r="I45" s="3">
        <v>1819</v>
      </c>
      <c r="J45" t="str">
        <f>TEXT(tblExpenses[[#This Row],[Date]],"mmm")</f>
        <v>Feb</v>
      </c>
    </row>
    <row r="46" spans="1:10" x14ac:dyDescent="0.35">
      <c r="A46" t="s">
        <v>72</v>
      </c>
      <c r="B46" s="2">
        <v>45707</v>
      </c>
      <c r="C46" t="s">
        <v>15</v>
      </c>
      <c r="D46" t="s">
        <v>22</v>
      </c>
      <c r="E46" s="3">
        <v>113599</v>
      </c>
      <c r="F46" t="s">
        <v>23</v>
      </c>
      <c r="G46" t="s">
        <v>13</v>
      </c>
      <c r="H46" s="3">
        <v>116529</v>
      </c>
      <c r="I46" s="3">
        <v>2930</v>
      </c>
      <c r="J46" t="str">
        <f>TEXT(tblExpenses[[#This Row],[Date]],"mmm")</f>
        <v>Feb</v>
      </c>
    </row>
    <row r="47" spans="1:10" x14ac:dyDescent="0.35">
      <c r="A47" t="s">
        <v>73</v>
      </c>
      <c r="B47" s="2">
        <v>45696</v>
      </c>
      <c r="C47" t="s">
        <v>27</v>
      </c>
      <c r="D47" t="s">
        <v>31</v>
      </c>
      <c r="E47" s="3">
        <v>9475</v>
      </c>
      <c r="F47" t="s">
        <v>16</v>
      </c>
      <c r="G47" t="s">
        <v>13</v>
      </c>
      <c r="H47" s="3">
        <v>10226</v>
      </c>
      <c r="I47" s="3">
        <v>751</v>
      </c>
      <c r="J47" t="str">
        <f>TEXT(tblExpenses[[#This Row],[Date]],"mmm")</f>
        <v>Feb</v>
      </c>
    </row>
    <row r="48" spans="1:10" x14ac:dyDescent="0.35">
      <c r="A48" t="s">
        <v>74</v>
      </c>
      <c r="B48" s="2">
        <v>45697</v>
      </c>
      <c r="C48" t="s">
        <v>27</v>
      </c>
      <c r="D48" t="s">
        <v>22</v>
      </c>
      <c r="E48" s="3">
        <v>115497</v>
      </c>
      <c r="F48" t="s">
        <v>29</v>
      </c>
      <c r="G48" t="s">
        <v>13</v>
      </c>
      <c r="H48" s="3">
        <v>159511</v>
      </c>
      <c r="I48" s="3">
        <v>44014</v>
      </c>
      <c r="J48" t="str">
        <f>TEXT(tblExpenses[[#This Row],[Date]],"mmm")</f>
        <v>Feb</v>
      </c>
    </row>
    <row r="49" spans="1:10" x14ac:dyDescent="0.35">
      <c r="A49" t="s">
        <v>75</v>
      </c>
      <c r="B49" s="2">
        <v>45709</v>
      </c>
      <c r="C49" t="s">
        <v>27</v>
      </c>
      <c r="D49" t="s">
        <v>11</v>
      </c>
      <c r="E49" s="3">
        <v>3680</v>
      </c>
      <c r="F49" t="s">
        <v>29</v>
      </c>
      <c r="G49" t="s">
        <v>13</v>
      </c>
      <c r="H49" s="3">
        <v>4485</v>
      </c>
      <c r="I49" s="3">
        <v>805</v>
      </c>
      <c r="J49" t="str">
        <f>TEXT(tblExpenses[[#This Row],[Date]],"mmm")</f>
        <v>Feb</v>
      </c>
    </row>
    <row r="50" spans="1:10" x14ac:dyDescent="0.35">
      <c r="A50" t="s">
        <v>76</v>
      </c>
      <c r="B50" s="2">
        <v>45712</v>
      </c>
      <c r="C50" t="s">
        <v>27</v>
      </c>
      <c r="D50" t="s">
        <v>11</v>
      </c>
      <c r="E50" s="3">
        <v>39473</v>
      </c>
      <c r="F50" t="s">
        <v>29</v>
      </c>
      <c r="G50" t="s">
        <v>13</v>
      </c>
      <c r="H50" s="3">
        <v>47020</v>
      </c>
      <c r="I50" s="3">
        <v>7547</v>
      </c>
      <c r="J50" t="str">
        <f>TEXT(tblExpenses[[#This Row],[Date]],"mmm")</f>
        <v>Feb</v>
      </c>
    </row>
    <row r="51" spans="1:10" x14ac:dyDescent="0.35">
      <c r="A51" t="s">
        <v>77</v>
      </c>
      <c r="B51" s="2">
        <v>45698</v>
      </c>
      <c r="C51" t="s">
        <v>27</v>
      </c>
      <c r="D51" t="s">
        <v>18</v>
      </c>
      <c r="E51" s="3">
        <v>5845</v>
      </c>
      <c r="F51" t="s">
        <v>29</v>
      </c>
      <c r="G51" t="s">
        <v>25</v>
      </c>
      <c r="H51" s="3">
        <v>8469</v>
      </c>
      <c r="I51" s="3">
        <v>2624</v>
      </c>
      <c r="J51" t="str">
        <f>TEXT(tblExpenses[[#This Row],[Date]],"mmm")</f>
        <v>Feb</v>
      </c>
    </row>
    <row r="52" spans="1:10" x14ac:dyDescent="0.35">
      <c r="A52" t="s">
        <v>78</v>
      </c>
      <c r="B52" s="2">
        <v>45691</v>
      </c>
      <c r="C52" t="s">
        <v>27</v>
      </c>
      <c r="D52" t="s">
        <v>61</v>
      </c>
      <c r="E52" s="3">
        <v>24602</v>
      </c>
      <c r="F52" t="s">
        <v>29</v>
      </c>
      <c r="G52" t="s">
        <v>13</v>
      </c>
      <c r="H52" s="3">
        <v>25239</v>
      </c>
      <c r="I52" s="3">
        <v>637</v>
      </c>
      <c r="J52" t="str">
        <f>TEXT(tblExpenses[[#This Row],[Date]],"mmm")</f>
        <v>Feb</v>
      </c>
    </row>
    <row r="53" spans="1:10" x14ac:dyDescent="0.35">
      <c r="A53" t="s">
        <v>79</v>
      </c>
      <c r="B53" s="2">
        <v>45693</v>
      </c>
      <c r="C53" t="s">
        <v>38</v>
      </c>
      <c r="D53" t="s">
        <v>20</v>
      </c>
      <c r="E53" s="3">
        <v>166210</v>
      </c>
      <c r="F53" t="s">
        <v>12</v>
      </c>
      <c r="G53" t="s">
        <v>13</v>
      </c>
      <c r="H53" s="3">
        <v>176406</v>
      </c>
      <c r="I53" s="3">
        <v>10196</v>
      </c>
      <c r="J53" t="str">
        <f>TEXT(tblExpenses[[#This Row],[Date]],"mmm")</f>
        <v>Feb</v>
      </c>
    </row>
    <row r="54" spans="1:10" x14ac:dyDescent="0.35">
      <c r="A54" t="s">
        <v>80</v>
      </c>
      <c r="B54" s="2">
        <v>45715</v>
      </c>
      <c r="C54" t="s">
        <v>38</v>
      </c>
      <c r="D54" t="s">
        <v>11</v>
      </c>
      <c r="E54" s="3">
        <v>34390</v>
      </c>
      <c r="F54" t="s">
        <v>29</v>
      </c>
      <c r="G54" t="s">
        <v>13</v>
      </c>
      <c r="H54" s="3">
        <v>48913</v>
      </c>
      <c r="I54" s="3">
        <v>14523</v>
      </c>
      <c r="J54" t="str">
        <f>TEXT(tblExpenses[[#This Row],[Date]],"mmm")</f>
        <v>Feb</v>
      </c>
    </row>
    <row r="55" spans="1:10" x14ac:dyDescent="0.35">
      <c r="A55" t="s">
        <v>81</v>
      </c>
      <c r="B55" s="2">
        <v>45709</v>
      </c>
      <c r="C55" t="s">
        <v>38</v>
      </c>
      <c r="D55" t="s">
        <v>33</v>
      </c>
      <c r="E55" s="3">
        <v>59230</v>
      </c>
      <c r="F55" t="s">
        <v>16</v>
      </c>
      <c r="G55" t="s">
        <v>13</v>
      </c>
      <c r="H55" s="3">
        <v>61409</v>
      </c>
      <c r="I55" s="3">
        <v>2179</v>
      </c>
      <c r="J55" t="str">
        <f>TEXT(tblExpenses[[#This Row],[Date]],"mmm")</f>
        <v>Feb</v>
      </c>
    </row>
    <row r="56" spans="1:10" x14ac:dyDescent="0.35">
      <c r="A56" t="s">
        <v>82</v>
      </c>
      <c r="B56" s="2">
        <v>45689</v>
      </c>
      <c r="C56" t="s">
        <v>45</v>
      </c>
      <c r="D56" t="s">
        <v>20</v>
      </c>
      <c r="E56" s="3">
        <v>52232</v>
      </c>
      <c r="F56" t="s">
        <v>29</v>
      </c>
      <c r="G56" t="s">
        <v>25</v>
      </c>
      <c r="H56" s="3">
        <v>56928</v>
      </c>
      <c r="I56" s="3">
        <v>4696</v>
      </c>
      <c r="J56" t="str">
        <f>TEXT(tblExpenses[[#This Row],[Date]],"mmm")</f>
        <v>Feb</v>
      </c>
    </row>
    <row r="57" spans="1:10" x14ac:dyDescent="0.35">
      <c r="A57" t="s">
        <v>83</v>
      </c>
      <c r="B57" s="2">
        <v>45704</v>
      </c>
      <c r="C57" t="s">
        <v>45</v>
      </c>
      <c r="D57" t="s">
        <v>11</v>
      </c>
      <c r="E57" s="3">
        <v>24466</v>
      </c>
      <c r="F57" t="s">
        <v>16</v>
      </c>
      <c r="G57" t="s">
        <v>13</v>
      </c>
      <c r="H57" s="3">
        <v>36622</v>
      </c>
      <c r="I57" s="3">
        <v>12156</v>
      </c>
      <c r="J57" t="str">
        <f>TEXT(tblExpenses[[#This Row],[Date]],"mmm")</f>
        <v>Feb</v>
      </c>
    </row>
    <row r="58" spans="1:10" x14ac:dyDescent="0.35">
      <c r="A58" t="s">
        <v>84</v>
      </c>
      <c r="B58" s="2">
        <v>45706</v>
      </c>
      <c r="C58" t="s">
        <v>45</v>
      </c>
      <c r="D58" t="s">
        <v>11</v>
      </c>
      <c r="E58" s="3">
        <v>14638</v>
      </c>
      <c r="F58" t="s">
        <v>16</v>
      </c>
      <c r="G58" t="s">
        <v>25</v>
      </c>
      <c r="H58" s="3">
        <v>19074</v>
      </c>
      <c r="I58" s="3">
        <v>4436</v>
      </c>
      <c r="J58" t="str">
        <f>TEXT(tblExpenses[[#This Row],[Date]],"mmm")</f>
        <v>Feb</v>
      </c>
    </row>
    <row r="59" spans="1:10" x14ac:dyDescent="0.35">
      <c r="A59" t="s">
        <v>85</v>
      </c>
      <c r="B59" s="2">
        <v>45695</v>
      </c>
      <c r="C59" t="s">
        <v>45</v>
      </c>
      <c r="D59" t="s">
        <v>18</v>
      </c>
      <c r="E59" s="3">
        <v>7601</v>
      </c>
      <c r="F59" t="s">
        <v>16</v>
      </c>
      <c r="G59" t="s">
        <v>13</v>
      </c>
      <c r="H59" s="3">
        <v>8988</v>
      </c>
      <c r="I59" s="3">
        <v>1387</v>
      </c>
      <c r="J59" t="str">
        <f>TEXT(tblExpenses[[#This Row],[Date]],"mmm")</f>
        <v>Feb</v>
      </c>
    </row>
    <row r="60" spans="1:10" x14ac:dyDescent="0.35">
      <c r="A60" t="s">
        <v>86</v>
      </c>
      <c r="B60" s="2">
        <v>45693</v>
      </c>
      <c r="C60" t="s">
        <v>45</v>
      </c>
      <c r="D60" t="s">
        <v>11</v>
      </c>
      <c r="E60" s="3">
        <v>49693</v>
      </c>
      <c r="F60" t="s">
        <v>12</v>
      </c>
      <c r="G60" t="s">
        <v>13</v>
      </c>
      <c r="H60" s="3">
        <v>66877</v>
      </c>
      <c r="I60" s="3">
        <v>17184</v>
      </c>
      <c r="J60" t="str">
        <f>TEXT(tblExpenses[[#This Row],[Date]],"mmm")</f>
        <v>Feb</v>
      </c>
    </row>
    <row r="61" spans="1:10" x14ac:dyDescent="0.35">
      <c r="A61" t="s">
        <v>87</v>
      </c>
      <c r="B61" s="2">
        <v>45698</v>
      </c>
      <c r="C61" t="s">
        <v>54</v>
      </c>
      <c r="D61" t="s">
        <v>31</v>
      </c>
      <c r="E61" s="3">
        <v>12601</v>
      </c>
      <c r="F61" t="s">
        <v>23</v>
      </c>
      <c r="G61" t="s">
        <v>13</v>
      </c>
      <c r="H61" s="3">
        <v>16076</v>
      </c>
      <c r="I61" s="3">
        <v>3475</v>
      </c>
      <c r="J61" t="str">
        <f>TEXT(tblExpenses[[#This Row],[Date]],"mmm")</f>
        <v>Feb</v>
      </c>
    </row>
    <row r="62" spans="1:10" x14ac:dyDescent="0.35">
      <c r="A62" t="s">
        <v>88</v>
      </c>
      <c r="B62" s="2">
        <v>45695</v>
      </c>
      <c r="C62" t="s">
        <v>54</v>
      </c>
      <c r="D62" t="s">
        <v>22</v>
      </c>
      <c r="E62" s="3">
        <v>30304</v>
      </c>
      <c r="F62" t="s">
        <v>12</v>
      </c>
      <c r="G62" t="s">
        <v>13</v>
      </c>
      <c r="H62" s="3">
        <v>34093</v>
      </c>
      <c r="I62" s="3">
        <v>3789</v>
      </c>
      <c r="J62" t="str">
        <f>TEXT(tblExpenses[[#This Row],[Date]],"mmm")</f>
        <v>Feb</v>
      </c>
    </row>
    <row r="63" spans="1:10" x14ac:dyDescent="0.35">
      <c r="A63" t="s">
        <v>89</v>
      </c>
      <c r="B63" s="2">
        <v>45712</v>
      </c>
      <c r="C63" t="s">
        <v>54</v>
      </c>
      <c r="D63" t="s">
        <v>61</v>
      </c>
      <c r="E63" s="3">
        <v>8428</v>
      </c>
      <c r="F63" t="s">
        <v>23</v>
      </c>
      <c r="G63" t="s">
        <v>13</v>
      </c>
      <c r="H63" s="3">
        <v>11774</v>
      </c>
      <c r="I63" s="3">
        <v>3346</v>
      </c>
      <c r="J63" t="str">
        <f>TEXT(tblExpenses[[#This Row],[Date]],"mmm")</f>
        <v>Feb</v>
      </c>
    </row>
    <row r="64" spans="1:10" x14ac:dyDescent="0.35">
      <c r="A64" t="s">
        <v>90</v>
      </c>
      <c r="B64" s="2">
        <v>45720</v>
      </c>
      <c r="C64" t="s">
        <v>10</v>
      </c>
      <c r="D64" t="s">
        <v>61</v>
      </c>
      <c r="E64" s="3">
        <v>29735</v>
      </c>
      <c r="F64" t="s">
        <v>23</v>
      </c>
      <c r="G64" t="s">
        <v>13</v>
      </c>
      <c r="H64" s="3">
        <v>34474</v>
      </c>
      <c r="I64" s="3">
        <v>4739</v>
      </c>
      <c r="J64" t="str">
        <f>TEXT(tblExpenses[[#This Row],[Date]],"mmm")</f>
        <v>Mar</v>
      </c>
    </row>
    <row r="65" spans="1:10" x14ac:dyDescent="0.35">
      <c r="A65" t="s">
        <v>91</v>
      </c>
      <c r="B65" s="2">
        <v>45743</v>
      </c>
      <c r="C65" t="s">
        <v>10</v>
      </c>
      <c r="D65" t="s">
        <v>31</v>
      </c>
      <c r="E65" s="3">
        <v>7126</v>
      </c>
      <c r="F65" t="s">
        <v>16</v>
      </c>
      <c r="G65" t="s">
        <v>13</v>
      </c>
      <c r="H65" s="3">
        <v>10325</v>
      </c>
      <c r="I65" s="3">
        <v>3199</v>
      </c>
      <c r="J65" t="str">
        <f>TEXT(tblExpenses[[#This Row],[Date]],"mmm")</f>
        <v>Mar</v>
      </c>
    </row>
    <row r="66" spans="1:10" x14ac:dyDescent="0.35">
      <c r="A66" t="s">
        <v>92</v>
      </c>
      <c r="B66" s="2">
        <v>45736</v>
      </c>
      <c r="C66" t="s">
        <v>10</v>
      </c>
      <c r="D66" t="s">
        <v>61</v>
      </c>
      <c r="E66" s="3">
        <v>22230</v>
      </c>
      <c r="F66" t="s">
        <v>12</v>
      </c>
      <c r="G66" t="s">
        <v>13</v>
      </c>
      <c r="H66" s="3">
        <v>26785</v>
      </c>
      <c r="I66" s="3">
        <v>4555</v>
      </c>
      <c r="J66" t="str">
        <f>TEXT(tblExpenses[[#This Row],[Date]],"mmm")</f>
        <v>Mar</v>
      </c>
    </row>
    <row r="67" spans="1:10" x14ac:dyDescent="0.35">
      <c r="A67" t="s">
        <v>93</v>
      </c>
      <c r="B67" s="2">
        <v>45722</v>
      </c>
      <c r="C67" t="s">
        <v>10</v>
      </c>
      <c r="D67" t="s">
        <v>15</v>
      </c>
      <c r="E67" s="3">
        <v>94588</v>
      </c>
      <c r="F67" t="s">
        <v>12</v>
      </c>
      <c r="G67" t="s">
        <v>13</v>
      </c>
      <c r="H67" s="3">
        <v>114895</v>
      </c>
      <c r="I67" s="3">
        <v>20307</v>
      </c>
      <c r="J67" t="str">
        <f>TEXT(tblExpenses[[#This Row],[Date]],"mmm")</f>
        <v>Mar</v>
      </c>
    </row>
    <row r="68" spans="1:10" x14ac:dyDescent="0.35">
      <c r="A68" t="s">
        <v>94</v>
      </c>
      <c r="B68" s="2">
        <v>45727</v>
      </c>
      <c r="C68" t="s">
        <v>10</v>
      </c>
      <c r="D68" t="s">
        <v>31</v>
      </c>
      <c r="E68" s="3">
        <v>7094</v>
      </c>
      <c r="F68" t="s">
        <v>16</v>
      </c>
      <c r="G68" t="s">
        <v>13</v>
      </c>
      <c r="H68" s="3">
        <v>7608</v>
      </c>
      <c r="I68" s="3">
        <v>514</v>
      </c>
      <c r="J68" t="str">
        <f>TEXT(tblExpenses[[#This Row],[Date]],"mmm")</f>
        <v>Mar</v>
      </c>
    </row>
    <row r="69" spans="1:10" x14ac:dyDescent="0.35">
      <c r="A69" t="s">
        <v>95</v>
      </c>
      <c r="B69" s="2">
        <v>45742</v>
      </c>
      <c r="C69" t="s">
        <v>10</v>
      </c>
      <c r="D69" t="s">
        <v>31</v>
      </c>
      <c r="E69" s="3">
        <v>4502</v>
      </c>
      <c r="F69" t="s">
        <v>12</v>
      </c>
      <c r="G69" t="s">
        <v>13</v>
      </c>
      <c r="H69" s="3">
        <v>5550</v>
      </c>
      <c r="I69" s="3">
        <v>1048</v>
      </c>
      <c r="J69" t="str">
        <f>TEXT(tblExpenses[[#This Row],[Date]],"mmm")</f>
        <v>Mar</v>
      </c>
    </row>
    <row r="70" spans="1:10" x14ac:dyDescent="0.35">
      <c r="A70" t="s">
        <v>96</v>
      </c>
      <c r="B70" s="2">
        <v>45733</v>
      </c>
      <c r="C70" t="s">
        <v>10</v>
      </c>
      <c r="D70" t="s">
        <v>22</v>
      </c>
      <c r="E70" s="3">
        <v>42173</v>
      </c>
      <c r="F70" t="s">
        <v>29</v>
      </c>
      <c r="G70" t="s">
        <v>13</v>
      </c>
      <c r="H70" s="3">
        <v>54863</v>
      </c>
      <c r="I70" s="3">
        <v>12690</v>
      </c>
      <c r="J70" t="str">
        <f>TEXT(tblExpenses[[#This Row],[Date]],"mmm")</f>
        <v>Mar</v>
      </c>
    </row>
    <row r="71" spans="1:10" x14ac:dyDescent="0.35">
      <c r="A71" t="s">
        <v>97</v>
      </c>
      <c r="B71" s="2">
        <v>45730</v>
      </c>
      <c r="C71" t="s">
        <v>15</v>
      </c>
      <c r="D71" t="s">
        <v>11</v>
      </c>
      <c r="E71" s="3">
        <v>39614</v>
      </c>
      <c r="F71" t="s">
        <v>23</v>
      </c>
      <c r="G71" t="s">
        <v>13</v>
      </c>
      <c r="H71" s="3">
        <v>57295</v>
      </c>
      <c r="I71" s="3">
        <v>17681</v>
      </c>
      <c r="J71" t="str">
        <f>TEXT(tblExpenses[[#This Row],[Date]],"mmm")</f>
        <v>Mar</v>
      </c>
    </row>
    <row r="72" spans="1:10" x14ac:dyDescent="0.35">
      <c r="A72" t="s">
        <v>98</v>
      </c>
      <c r="B72" s="2">
        <v>45732</v>
      </c>
      <c r="C72" t="s">
        <v>15</v>
      </c>
      <c r="D72" t="s">
        <v>18</v>
      </c>
      <c r="E72" s="3">
        <v>906</v>
      </c>
      <c r="F72" t="s">
        <v>16</v>
      </c>
      <c r="G72" t="s">
        <v>13</v>
      </c>
      <c r="H72" s="3">
        <v>1270</v>
      </c>
      <c r="I72" s="3">
        <v>364</v>
      </c>
      <c r="J72" t="str">
        <f>TEXT(tblExpenses[[#This Row],[Date]],"mmm")</f>
        <v>Mar</v>
      </c>
    </row>
    <row r="73" spans="1:10" x14ac:dyDescent="0.35">
      <c r="A73" t="s">
        <v>99</v>
      </c>
      <c r="B73" s="2">
        <v>45727</v>
      </c>
      <c r="C73" t="s">
        <v>15</v>
      </c>
      <c r="D73" t="s">
        <v>11</v>
      </c>
      <c r="E73" s="3">
        <v>31673</v>
      </c>
      <c r="F73" t="s">
        <v>23</v>
      </c>
      <c r="G73" t="s">
        <v>13</v>
      </c>
      <c r="H73" s="3">
        <v>34383</v>
      </c>
      <c r="I73" s="3">
        <v>2710</v>
      </c>
      <c r="J73" t="str">
        <f>TEXT(tblExpenses[[#This Row],[Date]],"mmm")</f>
        <v>Mar</v>
      </c>
    </row>
    <row r="74" spans="1:10" x14ac:dyDescent="0.35">
      <c r="A74" t="s">
        <v>100</v>
      </c>
      <c r="B74" s="2">
        <v>45744</v>
      </c>
      <c r="C74" t="s">
        <v>15</v>
      </c>
      <c r="D74" t="s">
        <v>61</v>
      </c>
      <c r="E74" s="3">
        <v>3584</v>
      </c>
      <c r="F74" t="s">
        <v>16</v>
      </c>
      <c r="G74" t="s">
        <v>13</v>
      </c>
      <c r="H74" s="3">
        <v>4737</v>
      </c>
      <c r="I74" s="3">
        <v>1153</v>
      </c>
      <c r="J74" t="str">
        <f>TEXT(tblExpenses[[#This Row],[Date]],"mmm")</f>
        <v>Mar</v>
      </c>
    </row>
    <row r="75" spans="1:10" x14ac:dyDescent="0.35">
      <c r="A75" t="s">
        <v>101</v>
      </c>
      <c r="B75" s="2">
        <v>45733</v>
      </c>
      <c r="C75" t="s">
        <v>15</v>
      </c>
      <c r="D75" t="s">
        <v>22</v>
      </c>
      <c r="E75" s="3">
        <v>9850</v>
      </c>
      <c r="F75" t="s">
        <v>16</v>
      </c>
      <c r="G75" t="s">
        <v>13</v>
      </c>
      <c r="H75" s="3">
        <v>14262</v>
      </c>
      <c r="I75" s="3">
        <v>4412</v>
      </c>
      <c r="J75" t="str">
        <f>TEXT(tblExpenses[[#This Row],[Date]],"mmm")</f>
        <v>Mar</v>
      </c>
    </row>
    <row r="76" spans="1:10" x14ac:dyDescent="0.35">
      <c r="A76" t="s">
        <v>102</v>
      </c>
      <c r="B76" s="2">
        <v>45730</v>
      </c>
      <c r="C76" t="s">
        <v>15</v>
      </c>
      <c r="D76" t="s">
        <v>20</v>
      </c>
      <c r="E76" s="3">
        <v>34935</v>
      </c>
      <c r="F76" t="s">
        <v>12</v>
      </c>
      <c r="G76" t="s">
        <v>13</v>
      </c>
      <c r="H76" s="3">
        <v>49430</v>
      </c>
      <c r="I76" s="3">
        <v>14495</v>
      </c>
      <c r="J76" t="str">
        <f>TEXT(tblExpenses[[#This Row],[Date]],"mmm")</f>
        <v>Mar</v>
      </c>
    </row>
    <row r="77" spans="1:10" x14ac:dyDescent="0.35">
      <c r="A77" t="s">
        <v>103</v>
      </c>
      <c r="B77" s="2">
        <v>45727</v>
      </c>
      <c r="C77" t="s">
        <v>15</v>
      </c>
      <c r="D77" t="s">
        <v>22</v>
      </c>
      <c r="E77" s="3">
        <v>15455</v>
      </c>
      <c r="F77" t="s">
        <v>23</v>
      </c>
      <c r="G77" t="s">
        <v>25</v>
      </c>
      <c r="H77" s="3">
        <v>19755</v>
      </c>
      <c r="I77" s="3">
        <v>4300</v>
      </c>
      <c r="J77" t="str">
        <f>TEXT(tblExpenses[[#This Row],[Date]],"mmm")</f>
        <v>Mar</v>
      </c>
    </row>
    <row r="78" spans="1:10" x14ac:dyDescent="0.35">
      <c r="A78" t="s">
        <v>104</v>
      </c>
      <c r="B78" s="2">
        <v>45732</v>
      </c>
      <c r="C78" t="s">
        <v>15</v>
      </c>
      <c r="D78" t="s">
        <v>61</v>
      </c>
      <c r="E78" s="3">
        <v>25821</v>
      </c>
      <c r="F78" t="s">
        <v>16</v>
      </c>
      <c r="G78" t="s">
        <v>13</v>
      </c>
      <c r="H78" s="3">
        <v>38525</v>
      </c>
      <c r="I78" s="3">
        <v>12704</v>
      </c>
      <c r="J78" t="str">
        <f>TEXT(tblExpenses[[#This Row],[Date]],"mmm")</f>
        <v>Mar</v>
      </c>
    </row>
    <row r="79" spans="1:10" x14ac:dyDescent="0.35">
      <c r="A79" t="s">
        <v>105</v>
      </c>
      <c r="B79" s="2">
        <v>45721</v>
      </c>
      <c r="C79" t="s">
        <v>27</v>
      </c>
      <c r="D79" t="s">
        <v>18</v>
      </c>
      <c r="E79" s="3">
        <v>891</v>
      </c>
      <c r="F79" t="s">
        <v>16</v>
      </c>
      <c r="G79" t="s">
        <v>13</v>
      </c>
      <c r="H79" s="3">
        <v>1259</v>
      </c>
      <c r="I79" s="3">
        <v>368</v>
      </c>
      <c r="J79" t="str">
        <f>TEXT(tblExpenses[[#This Row],[Date]],"mmm")</f>
        <v>Mar</v>
      </c>
    </row>
    <row r="80" spans="1:10" x14ac:dyDescent="0.35">
      <c r="A80" t="s">
        <v>106</v>
      </c>
      <c r="B80" s="2">
        <v>45742</v>
      </c>
      <c r="C80" t="s">
        <v>27</v>
      </c>
      <c r="D80" t="s">
        <v>15</v>
      </c>
      <c r="E80" s="3">
        <v>33073</v>
      </c>
      <c r="F80" t="s">
        <v>12</v>
      </c>
      <c r="G80" t="s">
        <v>25</v>
      </c>
      <c r="H80" s="3">
        <v>36234</v>
      </c>
      <c r="I80" s="3">
        <v>3161</v>
      </c>
      <c r="J80" t="str">
        <f>TEXT(tblExpenses[[#This Row],[Date]],"mmm")</f>
        <v>Mar</v>
      </c>
    </row>
    <row r="81" spans="1:10" x14ac:dyDescent="0.35">
      <c r="A81" t="s">
        <v>107</v>
      </c>
      <c r="B81" s="2">
        <v>45718</v>
      </c>
      <c r="C81" t="s">
        <v>27</v>
      </c>
      <c r="D81" t="s">
        <v>61</v>
      </c>
      <c r="E81" s="3">
        <v>28721</v>
      </c>
      <c r="F81" t="s">
        <v>12</v>
      </c>
      <c r="G81" t="s">
        <v>13</v>
      </c>
      <c r="H81" s="3">
        <v>29340</v>
      </c>
      <c r="I81" s="3">
        <v>619</v>
      </c>
      <c r="J81" t="str">
        <f>TEXT(tblExpenses[[#This Row],[Date]],"mmm")</f>
        <v>Mar</v>
      </c>
    </row>
    <row r="82" spans="1:10" x14ac:dyDescent="0.35">
      <c r="A82" t="s">
        <v>108</v>
      </c>
      <c r="B82" s="2">
        <v>45721</v>
      </c>
      <c r="C82" t="s">
        <v>38</v>
      </c>
      <c r="D82" t="s">
        <v>22</v>
      </c>
      <c r="E82" s="3">
        <v>40377</v>
      </c>
      <c r="F82" t="s">
        <v>23</v>
      </c>
      <c r="G82" t="s">
        <v>13</v>
      </c>
      <c r="H82" s="3">
        <v>54482</v>
      </c>
      <c r="I82" s="3">
        <v>14105</v>
      </c>
      <c r="J82" t="str">
        <f>TEXT(tblExpenses[[#This Row],[Date]],"mmm")</f>
        <v>Mar</v>
      </c>
    </row>
    <row r="83" spans="1:10" x14ac:dyDescent="0.35">
      <c r="A83" t="s">
        <v>109</v>
      </c>
      <c r="B83" s="2">
        <v>45738</v>
      </c>
      <c r="C83" t="s">
        <v>38</v>
      </c>
      <c r="D83" t="s">
        <v>15</v>
      </c>
      <c r="E83" s="3">
        <v>118342</v>
      </c>
      <c r="F83" t="s">
        <v>16</v>
      </c>
      <c r="G83" t="s">
        <v>25</v>
      </c>
      <c r="H83" s="3">
        <v>156028</v>
      </c>
      <c r="I83" s="3">
        <v>37686</v>
      </c>
      <c r="J83" t="str">
        <f>TEXT(tblExpenses[[#This Row],[Date]],"mmm")</f>
        <v>Mar</v>
      </c>
    </row>
    <row r="84" spans="1:10" x14ac:dyDescent="0.35">
      <c r="A84" t="s">
        <v>110</v>
      </c>
      <c r="B84" s="2">
        <v>45725</v>
      </c>
      <c r="C84" t="s">
        <v>38</v>
      </c>
      <c r="D84" t="s">
        <v>20</v>
      </c>
      <c r="E84" s="3">
        <v>183347</v>
      </c>
      <c r="F84" t="s">
        <v>12</v>
      </c>
      <c r="G84" t="s">
        <v>13</v>
      </c>
      <c r="H84" s="3">
        <v>228277</v>
      </c>
      <c r="I84" s="3">
        <v>44930</v>
      </c>
      <c r="J84" t="str">
        <f>TEXT(tblExpenses[[#This Row],[Date]],"mmm")</f>
        <v>Mar</v>
      </c>
    </row>
    <row r="85" spans="1:10" x14ac:dyDescent="0.35">
      <c r="A85" t="s">
        <v>111</v>
      </c>
      <c r="B85" s="2">
        <v>45719</v>
      </c>
      <c r="C85" t="s">
        <v>38</v>
      </c>
      <c r="D85" t="s">
        <v>61</v>
      </c>
      <c r="E85" s="3">
        <v>28106</v>
      </c>
      <c r="F85" t="s">
        <v>12</v>
      </c>
      <c r="G85" t="s">
        <v>25</v>
      </c>
      <c r="H85" s="3">
        <v>32269</v>
      </c>
      <c r="I85" s="3">
        <v>4163</v>
      </c>
      <c r="J85" t="str">
        <f>TEXT(tblExpenses[[#This Row],[Date]],"mmm")</f>
        <v>Mar</v>
      </c>
    </row>
    <row r="86" spans="1:10" x14ac:dyDescent="0.35">
      <c r="A86" t="s">
        <v>112</v>
      </c>
      <c r="B86" s="2">
        <v>45732</v>
      </c>
      <c r="C86" t="s">
        <v>38</v>
      </c>
      <c r="D86" t="s">
        <v>18</v>
      </c>
      <c r="E86" s="3">
        <v>6193</v>
      </c>
      <c r="F86" t="s">
        <v>16</v>
      </c>
      <c r="G86" t="s">
        <v>13</v>
      </c>
      <c r="H86" s="3">
        <v>6435</v>
      </c>
      <c r="I86" s="3">
        <v>242</v>
      </c>
      <c r="J86" t="str">
        <f>TEXT(tblExpenses[[#This Row],[Date]],"mmm")</f>
        <v>Mar</v>
      </c>
    </row>
    <row r="87" spans="1:10" x14ac:dyDescent="0.35">
      <c r="A87" t="s">
        <v>113</v>
      </c>
      <c r="B87" s="2">
        <v>45723</v>
      </c>
      <c r="C87" t="s">
        <v>38</v>
      </c>
      <c r="D87" t="s">
        <v>18</v>
      </c>
      <c r="E87" s="3">
        <v>4335</v>
      </c>
      <c r="F87" t="s">
        <v>23</v>
      </c>
      <c r="G87" t="s">
        <v>13</v>
      </c>
      <c r="H87" s="3">
        <v>6109</v>
      </c>
      <c r="I87" s="3">
        <v>1774</v>
      </c>
      <c r="J87" t="str">
        <f>TEXT(tblExpenses[[#This Row],[Date]],"mmm")</f>
        <v>Mar</v>
      </c>
    </row>
    <row r="88" spans="1:10" x14ac:dyDescent="0.35">
      <c r="A88" t="s">
        <v>114</v>
      </c>
      <c r="B88" s="2">
        <v>45739</v>
      </c>
      <c r="C88" t="s">
        <v>38</v>
      </c>
      <c r="D88" t="s">
        <v>31</v>
      </c>
      <c r="E88" s="3">
        <v>13459</v>
      </c>
      <c r="F88" t="s">
        <v>23</v>
      </c>
      <c r="G88" t="s">
        <v>13</v>
      </c>
      <c r="H88" s="3">
        <v>19814</v>
      </c>
      <c r="I88" s="3">
        <v>6355</v>
      </c>
      <c r="J88" t="str">
        <f>TEXT(tblExpenses[[#This Row],[Date]],"mmm")</f>
        <v>Mar</v>
      </c>
    </row>
    <row r="89" spans="1:10" x14ac:dyDescent="0.35">
      <c r="A89" t="s">
        <v>115</v>
      </c>
      <c r="B89" s="2">
        <v>45729</v>
      </c>
      <c r="C89" t="s">
        <v>38</v>
      </c>
      <c r="D89" t="s">
        <v>15</v>
      </c>
      <c r="E89" s="3">
        <v>67353</v>
      </c>
      <c r="F89" t="s">
        <v>23</v>
      </c>
      <c r="G89" t="s">
        <v>25</v>
      </c>
      <c r="H89" s="3">
        <v>98224</v>
      </c>
      <c r="I89" s="3">
        <v>30871</v>
      </c>
      <c r="J89" t="str">
        <f>TEXT(tblExpenses[[#This Row],[Date]],"mmm")</f>
        <v>Mar</v>
      </c>
    </row>
    <row r="90" spans="1:10" x14ac:dyDescent="0.35">
      <c r="A90" t="s">
        <v>116</v>
      </c>
      <c r="B90" s="2">
        <v>45722</v>
      </c>
      <c r="C90" t="s">
        <v>45</v>
      </c>
      <c r="D90" t="s">
        <v>18</v>
      </c>
      <c r="E90" s="3">
        <v>1062</v>
      </c>
      <c r="F90" t="s">
        <v>12</v>
      </c>
      <c r="G90" t="s">
        <v>25</v>
      </c>
      <c r="H90" s="3">
        <v>1210</v>
      </c>
      <c r="I90" s="3">
        <v>148</v>
      </c>
      <c r="J90" t="str">
        <f>TEXT(tblExpenses[[#This Row],[Date]],"mmm")</f>
        <v>Mar</v>
      </c>
    </row>
    <row r="91" spans="1:10" x14ac:dyDescent="0.35">
      <c r="A91" t="s">
        <v>117</v>
      </c>
      <c r="B91" s="2">
        <v>45724</v>
      </c>
      <c r="C91" t="s">
        <v>45</v>
      </c>
      <c r="D91" t="s">
        <v>20</v>
      </c>
      <c r="E91" s="3">
        <v>38094</v>
      </c>
      <c r="F91" t="s">
        <v>16</v>
      </c>
      <c r="G91" t="s">
        <v>13</v>
      </c>
      <c r="H91" s="3">
        <v>52285</v>
      </c>
      <c r="I91" s="3">
        <v>14191</v>
      </c>
      <c r="J91" t="str">
        <f>TEXT(tblExpenses[[#This Row],[Date]],"mmm")</f>
        <v>Mar</v>
      </c>
    </row>
    <row r="92" spans="1:10" x14ac:dyDescent="0.35">
      <c r="A92" t="s">
        <v>118</v>
      </c>
      <c r="B92" s="2">
        <v>45731</v>
      </c>
      <c r="C92" t="s">
        <v>45</v>
      </c>
      <c r="D92" t="s">
        <v>33</v>
      </c>
      <c r="E92" s="3">
        <v>67421</v>
      </c>
      <c r="F92" t="s">
        <v>12</v>
      </c>
      <c r="G92" t="s">
        <v>13</v>
      </c>
      <c r="H92" s="3">
        <v>89733</v>
      </c>
      <c r="I92" s="3">
        <v>22312</v>
      </c>
      <c r="J92" t="str">
        <f>TEXT(tblExpenses[[#This Row],[Date]],"mmm")</f>
        <v>Mar</v>
      </c>
    </row>
    <row r="93" spans="1:10" x14ac:dyDescent="0.35">
      <c r="A93" t="s">
        <v>119</v>
      </c>
      <c r="B93" s="2">
        <v>45721</v>
      </c>
      <c r="C93" t="s">
        <v>45</v>
      </c>
      <c r="D93" t="s">
        <v>11</v>
      </c>
      <c r="E93" s="3">
        <v>25227</v>
      </c>
      <c r="F93" t="s">
        <v>23</v>
      </c>
      <c r="G93" t="s">
        <v>25</v>
      </c>
      <c r="H93" s="3">
        <v>30669</v>
      </c>
      <c r="I93" s="3">
        <v>5442</v>
      </c>
      <c r="J93" t="str">
        <f>TEXT(tblExpenses[[#This Row],[Date]],"mmm")</f>
        <v>Mar</v>
      </c>
    </row>
    <row r="94" spans="1:10" x14ac:dyDescent="0.35">
      <c r="A94" t="s">
        <v>120</v>
      </c>
      <c r="B94" s="2">
        <v>45728</v>
      </c>
      <c r="C94" t="s">
        <v>45</v>
      </c>
      <c r="D94" t="s">
        <v>31</v>
      </c>
      <c r="E94" s="3">
        <v>1870</v>
      </c>
      <c r="F94" t="s">
        <v>16</v>
      </c>
      <c r="G94" t="s">
        <v>13</v>
      </c>
      <c r="H94" s="3">
        <v>2283</v>
      </c>
      <c r="I94" s="3">
        <v>413</v>
      </c>
      <c r="J94" t="str">
        <f>TEXT(tblExpenses[[#This Row],[Date]],"mmm")</f>
        <v>Mar</v>
      </c>
    </row>
    <row r="95" spans="1:10" x14ac:dyDescent="0.35">
      <c r="A95" t="s">
        <v>121</v>
      </c>
      <c r="B95" s="2">
        <v>45722</v>
      </c>
      <c r="C95" t="s">
        <v>45</v>
      </c>
      <c r="D95" t="s">
        <v>18</v>
      </c>
      <c r="E95" s="3">
        <v>2908</v>
      </c>
      <c r="F95" t="s">
        <v>12</v>
      </c>
      <c r="G95" t="s">
        <v>25</v>
      </c>
      <c r="H95" s="3">
        <v>3183</v>
      </c>
      <c r="I95" s="3">
        <v>275</v>
      </c>
      <c r="J95" t="str">
        <f>TEXT(tblExpenses[[#This Row],[Date]],"mmm")</f>
        <v>Mar</v>
      </c>
    </row>
    <row r="96" spans="1:10" x14ac:dyDescent="0.35">
      <c r="A96" t="s">
        <v>122</v>
      </c>
      <c r="B96" s="2">
        <v>45737</v>
      </c>
      <c r="C96" t="s">
        <v>54</v>
      </c>
      <c r="D96" t="s">
        <v>22</v>
      </c>
      <c r="E96" s="3">
        <v>19311</v>
      </c>
      <c r="F96" t="s">
        <v>29</v>
      </c>
      <c r="G96" t="s">
        <v>13</v>
      </c>
      <c r="H96" s="3">
        <v>25888</v>
      </c>
      <c r="I96" s="3">
        <v>6577</v>
      </c>
      <c r="J96" t="str">
        <f>TEXT(tblExpenses[[#This Row],[Date]],"mmm")</f>
        <v>Mar</v>
      </c>
    </row>
    <row r="97" spans="1:10" x14ac:dyDescent="0.35">
      <c r="A97" t="s">
        <v>123</v>
      </c>
      <c r="B97" s="2">
        <v>45724</v>
      </c>
      <c r="C97" t="s">
        <v>54</v>
      </c>
      <c r="D97" t="s">
        <v>33</v>
      </c>
      <c r="E97" s="3">
        <v>9677</v>
      </c>
      <c r="F97" t="s">
        <v>16</v>
      </c>
      <c r="G97" t="s">
        <v>25</v>
      </c>
      <c r="H97" s="3">
        <v>12460</v>
      </c>
      <c r="I97" s="3">
        <v>2783</v>
      </c>
      <c r="J97" t="str">
        <f>TEXT(tblExpenses[[#This Row],[Date]],"mmm")</f>
        <v>Mar</v>
      </c>
    </row>
    <row r="98" spans="1:10" x14ac:dyDescent="0.35">
      <c r="A98" t="s">
        <v>124</v>
      </c>
      <c r="B98" s="2">
        <v>45739</v>
      </c>
      <c r="C98" t="s">
        <v>54</v>
      </c>
      <c r="D98" t="s">
        <v>18</v>
      </c>
      <c r="E98" s="3">
        <v>7730</v>
      </c>
      <c r="F98" t="s">
        <v>23</v>
      </c>
      <c r="G98" t="s">
        <v>13</v>
      </c>
      <c r="H98" s="3">
        <v>10127</v>
      </c>
      <c r="I98" s="3">
        <v>2397</v>
      </c>
      <c r="J98" t="str">
        <f>TEXT(tblExpenses[[#This Row],[Date]],"mmm")</f>
        <v>Mar</v>
      </c>
    </row>
    <row r="99" spans="1:10" x14ac:dyDescent="0.35">
      <c r="A99" t="s">
        <v>125</v>
      </c>
      <c r="B99" s="2">
        <v>45739</v>
      </c>
      <c r="C99" t="s">
        <v>54</v>
      </c>
      <c r="D99" t="s">
        <v>18</v>
      </c>
      <c r="E99" s="3">
        <v>6512</v>
      </c>
      <c r="F99" t="s">
        <v>12</v>
      </c>
      <c r="G99" t="s">
        <v>13</v>
      </c>
      <c r="H99" s="3">
        <v>9195</v>
      </c>
      <c r="I99" s="3">
        <v>2683</v>
      </c>
      <c r="J99" t="str">
        <f>TEXT(tblExpenses[[#This Row],[Date]],"mmm")</f>
        <v>Mar</v>
      </c>
    </row>
    <row r="100" spans="1:10" x14ac:dyDescent="0.35">
      <c r="A100" t="s">
        <v>126</v>
      </c>
      <c r="B100" s="2">
        <v>45739</v>
      </c>
      <c r="C100" t="s">
        <v>54</v>
      </c>
      <c r="D100" t="s">
        <v>18</v>
      </c>
      <c r="E100" s="3">
        <v>3347</v>
      </c>
      <c r="F100" t="s">
        <v>12</v>
      </c>
      <c r="G100" t="s">
        <v>13</v>
      </c>
      <c r="H100" s="3">
        <v>4413</v>
      </c>
      <c r="I100" s="3">
        <v>1066</v>
      </c>
      <c r="J100" t="str">
        <f>TEXT(tblExpenses[[#This Row],[Date]],"mmm")</f>
        <v>Mar</v>
      </c>
    </row>
    <row r="101" spans="1:10" x14ac:dyDescent="0.35">
      <c r="A101" t="s">
        <v>127</v>
      </c>
      <c r="B101" s="2">
        <v>45739</v>
      </c>
      <c r="C101" t="s">
        <v>54</v>
      </c>
      <c r="D101" t="s">
        <v>20</v>
      </c>
      <c r="E101" s="3">
        <v>90038</v>
      </c>
      <c r="F101" t="s">
        <v>29</v>
      </c>
      <c r="G101" t="s">
        <v>13</v>
      </c>
      <c r="H101" s="3">
        <v>128420</v>
      </c>
      <c r="I101" s="3">
        <v>38382</v>
      </c>
      <c r="J101" t="str">
        <f>TEXT(tblExpenses[[#This Row],[Date]],"mmm")</f>
        <v>Mar</v>
      </c>
    </row>
    <row r="102" spans="1:10" x14ac:dyDescent="0.35">
      <c r="A102" t="s">
        <v>128</v>
      </c>
      <c r="B102" s="2">
        <v>45731</v>
      </c>
      <c r="C102" t="s">
        <v>54</v>
      </c>
      <c r="D102" t="s">
        <v>11</v>
      </c>
      <c r="E102" s="3">
        <v>12921</v>
      </c>
      <c r="F102" t="s">
        <v>29</v>
      </c>
      <c r="G102" t="s">
        <v>13</v>
      </c>
      <c r="H102" s="3">
        <v>14131</v>
      </c>
      <c r="I102" s="3">
        <v>1210</v>
      </c>
      <c r="J102" t="str">
        <f>TEXT(tblExpenses[[#This Row],[Date]],"mmm")</f>
        <v>Mar</v>
      </c>
    </row>
    <row r="103" spans="1:10" x14ac:dyDescent="0.35">
      <c r="A103" t="s">
        <v>129</v>
      </c>
      <c r="B103" s="2">
        <v>45750</v>
      </c>
      <c r="C103" t="s">
        <v>10</v>
      </c>
      <c r="D103" t="s">
        <v>33</v>
      </c>
      <c r="E103" s="3">
        <v>28267</v>
      </c>
      <c r="F103" t="s">
        <v>29</v>
      </c>
      <c r="G103" t="s">
        <v>13</v>
      </c>
      <c r="H103" s="3">
        <v>42038</v>
      </c>
      <c r="I103" s="3">
        <v>13771</v>
      </c>
      <c r="J103" t="str">
        <f>TEXT(tblExpenses[[#This Row],[Date]],"mmm")</f>
        <v>Apr</v>
      </c>
    </row>
    <row r="104" spans="1:10" x14ac:dyDescent="0.35">
      <c r="A104" t="s">
        <v>130</v>
      </c>
      <c r="B104" s="2">
        <v>45775</v>
      </c>
      <c r="C104" t="s">
        <v>10</v>
      </c>
      <c r="D104" t="s">
        <v>20</v>
      </c>
      <c r="E104" s="3">
        <v>162871</v>
      </c>
      <c r="F104" t="s">
        <v>29</v>
      </c>
      <c r="G104" t="s">
        <v>13</v>
      </c>
      <c r="H104" s="3">
        <v>162953</v>
      </c>
      <c r="I104" s="3">
        <v>82</v>
      </c>
      <c r="J104" t="str">
        <f>TEXT(tblExpenses[[#This Row],[Date]],"mmm")</f>
        <v>Apr</v>
      </c>
    </row>
    <row r="105" spans="1:10" x14ac:dyDescent="0.35">
      <c r="A105" t="s">
        <v>131</v>
      </c>
      <c r="B105" s="2">
        <v>45757</v>
      </c>
      <c r="C105" t="s">
        <v>10</v>
      </c>
      <c r="D105" t="s">
        <v>33</v>
      </c>
      <c r="E105" s="3">
        <v>79352</v>
      </c>
      <c r="F105" t="s">
        <v>29</v>
      </c>
      <c r="G105" t="s">
        <v>25</v>
      </c>
      <c r="H105" s="3">
        <v>106334</v>
      </c>
      <c r="I105" s="3">
        <v>26982</v>
      </c>
      <c r="J105" t="str">
        <f>TEXT(tblExpenses[[#This Row],[Date]],"mmm")</f>
        <v>Apr</v>
      </c>
    </row>
    <row r="106" spans="1:10" x14ac:dyDescent="0.35">
      <c r="A106" t="s">
        <v>132</v>
      </c>
      <c r="B106" s="2">
        <v>45773</v>
      </c>
      <c r="C106" t="s">
        <v>10</v>
      </c>
      <c r="D106" t="s">
        <v>15</v>
      </c>
      <c r="E106" s="3">
        <v>34617</v>
      </c>
      <c r="F106" t="s">
        <v>12</v>
      </c>
      <c r="G106" t="s">
        <v>13</v>
      </c>
      <c r="H106" s="3">
        <v>36348</v>
      </c>
      <c r="I106" s="3">
        <v>1731</v>
      </c>
      <c r="J106" t="str">
        <f>TEXT(tblExpenses[[#This Row],[Date]],"mmm")</f>
        <v>Apr</v>
      </c>
    </row>
    <row r="107" spans="1:10" x14ac:dyDescent="0.35">
      <c r="A107" t="s">
        <v>133</v>
      </c>
      <c r="B107" s="2">
        <v>45759</v>
      </c>
      <c r="C107" t="s">
        <v>10</v>
      </c>
      <c r="D107" t="s">
        <v>61</v>
      </c>
      <c r="E107" s="3">
        <v>24738</v>
      </c>
      <c r="F107" t="s">
        <v>23</v>
      </c>
      <c r="G107" t="s">
        <v>13</v>
      </c>
      <c r="H107" s="3">
        <v>30755</v>
      </c>
      <c r="I107" s="3">
        <v>6017</v>
      </c>
      <c r="J107" t="str">
        <f>TEXT(tblExpenses[[#This Row],[Date]],"mmm")</f>
        <v>Apr</v>
      </c>
    </row>
    <row r="108" spans="1:10" x14ac:dyDescent="0.35">
      <c r="A108" t="s">
        <v>134</v>
      </c>
      <c r="B108" s="2">
        <v>45775</v>
      </c>
      <c r="C108" t="s">
        <v>15</v>
      </c>
      <c r="D108" t="s">
        <v>31</v>
      </c>
      <c r="E108" s="3">
        <v>9484</v>
      </c>
      <c r="F108" t="s">
        <v>23</v>
      </c>
      <c r="G108" t="s">
        <v>13</v>
      </c>
      <c r="H108" s="3">
        <v>13157</v>
      </c>
      <c r="I108" s="3">
        <v>3673</v>
      </c>
      <c r="J108" t="str">
        <f>TEXT(tblExpenses[[#This Row],[Date]],"mmm")</f>
        <v>Apr</v>
      </c>
    </row>
    <row r="109" spans="1:10" x14ac:dyDescent="0.35">
      <c r="A109" t="s">
        <v>135</v>
      </c>
      <c r="B109" s="2">
        <v>45775</v>
      </c>
      <c r="C109" t="s">
        <v>15</v>
      </c>
      <c r="D109" t="s">
        <v>33</v>
      </c>
      <c r="E109" s="3">
        <v>24385</v>
      </c>
      <c r="F109" t="s">
        <v>29</v>
      </c>
      <c r="G109" t="s">
        <v>13</v>
      </c>
      <c r="H109" s="3">
        <v>36317</v>
      </c>
      <c r="I109" s="3">
        <v>11932</v>
      </c>
      <c r="J109" t="str">
        <f>TEXT(tblExpenses[[#This Row],[Date]],"mmm")</f>
        <v>Apr</v>
      </c>
    </row>
    <row r="110" spans="1:10" x14ac:dyDescent="0.35">
      <c r="A110" t="s">
        <v>136</v>
      </c>
      <c r="B110" s="2">
        <v>45770</v>
      </c>
      <c r="C110" t="s">
        <v>15</v>
      </c>
      <c r="D110" t="s">
        <v>33</v>
      </c>
      <c r="E110" s="3">
        <v>37029</v>
      </c>
      <c r="F110" t="s">
        <v>23</v>
      </c>
      <c r="G110" t="s">
        <v>13</v>
      </c>
      <c r="H110" s="3">
        <v>47723</v>
      </c>
      <c r="I110" s="3">
        <v>10694</v>
      </c>
      <c r="J110" t="str">
        <f>TEXT(tblExpenses[[#This Row],[Date]],"mmm")</f>
        <v>Apr</v>
      </c>
    </row>
    <row r="111" spans="1:10" x14ac:dyDescent="0.35">
      <c r="A111" t="s">
        <v>137</v>
      </c>
      <c r="B111" s="2">
        <v>45756</v>
      </c>
      <c r="C111" t="s">
        <v>15</v>
      </c>
      <c r="D111" t="s">
        <v>18</v>
      </c>
      <c r="E111" s="3">
        <v>3594</v>
      </c>
      <c r="F111" t="s">
        <v>23</v>
      </c>
      <c r="G111" t="s">
        <v>25</v>
      </c>
      <c r="H111" s="3">
        <v>4742</v>
      </c>
      <c r="I111" s="3">
        <v>1148</v>
      </c>
      <c r="J111" t="str">
        <f>TEXT(tblExpenses[[#This Row],[Date]],"mmm")</f>
        <v>Apr</v>
      </c>
    </row>
    <row r="112" spans="1:10" x14ac:dyDescent="0.35">
      <c r="A112" t="s">
        <v>138</v>
      </c>
      <c r="B112" s="2">
        <v>45761</v>
      </c>
      <c r="C112" t="s">
        <v>15</v>
      </c>
      <c r="D112" t="s">
        <v>31</v>
      </c>
      <c r="E112" s="3">
        <v>6426</v>
      </c>
      <c r="F112" t="s">
        <v>12</v>
      </c>
      <c r="G112" t="s">
        <v>13</v>
      </c>
      <c r="H112" s="3">
        <v>7682</v>
      </c>
      <c r="I112" s="3">
        <v>1256</v>
      </c>
      <c r="J112" t="str">
        <f>TEXT(tblExpenses[[#This Row],[Date]],"mmm")</f>
        <v>Apr</v>
      </c>
    </row>
    <row r="113" spans="1:10" x14ac:dyDescent="0.35">
      <c r="A113" t="s">
        <v>139</v>
      </c>
      <c r="B113" s="2">
        <v>45761</v>
      </c>
      <c r="C113" t="s">
        <v>15</v>
      </c>
      <c r="D113" t="s">
        <v>31</v>
      </c>
      <c r="E113" s="3">
        <v>14667</v>
      </c>
      <c r="F113" t="s">
        <v>23</v>
      </c>
      <c r="G113" t="s">
        <v>25</v>
      </c>
      <c r="H113" s="3">
        <v>19158</v>
      </c>
      <c r="I113" s="3">
        <v>4491</v>
      </c>
      <c r="J113" t="str">
        <f>TEXT(tblExpenses[[#This Row],[Date]],"mmm")</f>
        <v>Apr</v>
      </c>
    </row>
    <row r="114" spans="1:10" x14ac:dyDescent="0.35">
      <c r="A114" t="s">
        <v>140</v>
      </c>
      <c r="B114" s="2">
        <v>45769</v>
      </c>
      <c r="C114" t="s">
        <v>15</v>
      </c>
      <c r="D114" t="s">
        <v>11</v>
      </c>
      <c r="E114" s="3">
        <v>2546</v>
      </c>
      <c r="F114" t="s">
        <v>29</v>
      </c>
      <c r="G114" t="s">
        <v>13</v>
      </c>
      <c r="H114" s="3">
        <v>3181</v>
      </c>
      <c r="I114" s="3">
        <v>635</v>
      </c>
      <c r="J114" t="str">
        <f>TEXT(tblExpenses[[#This Row],[Date]],"mmm")</f>
        <v>Apr</v>
      </c>
    </row>
    <row r="115" spans="1:10" x14ac:dyDescent="0.35">
      <c r="A115" t="s">
        <v>141</v>
      </c>
      <c r="B115" s="2">
        <v>45753</v>
      </c>
      <c r="C115" t="s">
        <v>15</v>
      </c>
      <c r="D115" t="s">
        <v>61</v>
      </c>
      <c r="E115" s="3">
        <v>23440</v>
      </c>
      <c r="F115" t="s">
        <v>12</v>
      </c>
      <c r="G115" t="s">
        <v>13</v>
      </c>
      <c r="H115" s="3">
        <v>29981</v>
      </c>
      <c r="I115" s="3">
        <v>6541</v>
      </c>
      <c r="J115" t="str">
        <f>TEXT(tblExpenses[[#This Row],[Date]],"mmm")</f>
        <v>Apr</v>
      </c>
    </row>
    <row r="116" spans="1:10" x14ac:dyDescent="0.35">
      <c r="A116" t="s">
        <v>142</v>
      </c>
      <c r="B116" s="2">
        <v>45757</v>
      </c>
      <c r="C116" t="s">
        <v>27</v>
      </c>
      <c r="D116" t="s">
        <v>33</v>
      </c>
      <c r="E116" s="3">
        <v>64488</v>
      </c>
      <c r="F116" t="s">
        <v>16</v>
      </c>
      <c r="G116" t="s">
        <v>13</v>
      </c>
      <c r="H116" s="3">
        <v>65808</v>
      </c>
      <c r="I116" s="3">
        <v>1320</v>
      </c>
      <c r="J116" t="str">
        <f>TEXT(tblExpenses[[#This Row],[Date]],"mmm")</f>
        <v>Apr</v>
      </c>
    </row>
    <row r="117" spans="1:10" x14ac:dyDescent="0.35">
      <c r="A117" t="s">
        <v>143</v>
      </c>
      <c r="B117" s="2">
        <v>45774</v>
      </c>
      <c r="C117" t="s">
        <v>27</v>
      </c>
      <c r="D117" t="s">
        <v>33</v>
      </c>
      <c r="E117" s="3">
        <v>61403</v>
      </c>
      <c r="F117" t="s">
        <v>16</v>
      </c>
      <c r="G117" t="s">
        <v>13</v>
      </c>
      <c r="H117" s="3">
        <v>72218</v>
      </c>
      <c r="I117" s="3">
        <v>10815</v>
      </c>
      <c r="J117" t="str">
        <f>TEXT(tblExpenses[[#This Row],[Date]],"mmm")</f>
        <v>Apr</v>
      </c>
    </row>
    <row r="118" spans="1:10" x14ac:dyDescent="0.35">
      <c r="A118" t="s">
        <v>144</v>
      </c>
      <c r="B118" s="2">
        <v>45764</v>
      </c>
      <c r="C118" t="s">
        <v>27</v>
      </c>
      <c r="D118" t="s">
        <v>31</v>
      </c>
      <c r="E118" s="3">
        <v>5641</v>
      </c>
      <c r="F118" t="s">
        <v>29</v>
      </c>
      <c r="G118" t="s">
        <v>13</v>
      </c>
      <c r="H118" s="3">
        <v>7856</v>
      </c>
      <c r="I118" s="3">
        <v>2215</v>
      </c>
      <c r="J118" t="str">
        <f>TEXT(tblExpenses[[#This Row],[Date]],"mmm")</f>
        <v>Apr</v>
      </c>
    </row>
    <row r="119" spans="1:10" x14ac:dyDescent="0.35">
      <c r="A119" t="s">
        <v>145</v>
      </c>
      <c r="B119" s="2">
        <v>45750</v>
      </c>
      <c r="C119" t="s">
        <v>27</v>
      </c>
      <c r="D119" t="s">
        <v>18</v>
      </c>
      <c r="E119" s="3">
        <v>4039</v>
      </c>
      <c r="F119" t="s">
        <v>12</v>
      </c>
      <c r="G119" t="s">
        <v>13</v>
      </c>
      <c r="H119" s="3">
        <v>5221</v>
      </c>
      <c r="I119" s="3">
        <v>1182</v>
      </c>
      <c r="J119" t="str">
        <f>TEXT(tblExpenses[[#This Row],[Date]],"mmm")</f>
        <v>Apr</v>
      </c>
    </row>
    <row r="120" spans="1:10" x14ac:dyDescent="0.35">
      <c r="A120" t="s">
        <v>146</v>
      </c>
      <c r="B120" s="2">
        <v>45768</v>
      </c>
      <c r="C120" t="s">
        <v>27</v>
      </c>
      <c r="D120" t="s">
        <v>31</v>
      </c>
      <c r="E120" s="3">
        <v>5075</v>
      </c>
      <c r="F120" t="s">
        <v>23</v>
      </c>
      <c r="G120" t="s">
        <v>13</v>
      </c>
      <c r="H120" s="3">
        <v>7135</v>
      </c>
      <c r="I120" s="3">
        <v>2060</v>
      </c>
      <c r="J120" t="str">
        <f>TEXT(tblExpenses[[#This Row],[Date]],"mmm")</f>
        <v>Apr</v>
      </c>
    </row>
    <row r="121" spans="1:10" x14ac:dyDescent="0.35">
      <c r="A121" t="s">
        <v>147</v>
      </c>
      <c r="B121" s="2">
        <v>45766</v>
      </c>
      <c r="C121" t="s">
        <v>38</v>
      </c>
      <c r="D121" t="s">
        <v>61</v>
      </c>
      <c r="E121" s="3">
        <v>22563</v>
      </c>
      <c r="F121" t="s">
        <v>23</v>
      </c>
      <c r="G121" t="s">
        <v>13</v>
      </c>
      <c r="H121" s="3">
        <v>26069</v>
      </c>
      <c r="I121" s="3">
        <v>3506</v>
      </c>
      <c r="J121" t="str">
        <f>TEXT(tblExpenses[[#This Row],[Date]],"mmm")</f>
        <v>Apr</v>
      </c>
    </row>
    <row r="122" spans="1:10" x14ac:dyDescent="0.35">
      <c r="A122" t="s">
        <v>148</v>
      </c>
      <c r="B122" s="2">
        <v>45765</v>
      </c>
      <c r="C122" t="s">
        <v>38</v>
      </c>
      <c r="D122" t="s">
        <v>18</v>
      </c>
      <c r="E122" s="3">
        <v>2548</v>
      </c>
      <c r="F122" t="s">
        <v>29</v>
      </c>
      <c r="G122" t="s">
        <v>13</v>
      </c>
      <c r="H122" s="3">
        <v>2721</v>
      </c>
      <c r="I122" s="3">
        <v>173</v>
      </c>
      <c r="J122" t="str">
        <f>TEXT(tblExpenses[[#This Row],[Date]],"mmm")</f>
        <v>Apr</v>
      </c>
    </row>
    <row r="123" spans="1:10" x14ac:dyDescent="0.35">
      <c r="A123" t="s">
        <v>149</v>
      </c>
      <c r="B123" s="2">
        <v>45762</v>
      </c>
      <c r="C123" t="s">
        <v>38</v>
      </c>
      <c r="D123" t="s">
        <v>61</v>
      </c>
      <c r="E123" s="3">
        <v>21568</v>
      </c>
      <c r="F123" t="s">
        <v>29</v>
      </c>
      <c r="G123" t="s">
        <v>13</v>
      </c>
      <c r="H123" s="3">
        <v>31566</v>
      </c>
      <c r="I123" s="3">
        <v>9998</v>
      </c>
      <c r="J123" t="str">
        <f>TEXT(tblExpenses[[#This Row],[Date]],"mmm")</f>
        <v>Apr</v>
      </c>
    </row>
    <row r="124" spans="1:10" x14ac:dyDescent="0.35">
      <c r="A124" t="s">
        <v>150</v>
      </c>
      <c r="B124" s="2">
        <v>45758</v>
      </c>
      <c r="C124" t="s">
        <v>38</v>
      </c>
      <c r="D124" t="s">
        <v>15</v>
      </c>
      <c r="E124" s="3">
        <v>148037</v>
      </c>
      <c r="F124" t="s">
        <v>12</v>
      </c>
      <c r="G124" t="s">
        <v>13</v>
      </c>
      <c r="H124" s="3">
        <v>180746</v>
      </c>
      <c r="I124" s="3">
        <v>32709</v>
      </c>
      <c r="J124" t="str">
        <f>TEXT(tblExpenses[[#This Row],[Date]],"mmm")</f>
        <v>Apr</v>
      </c>
    </row>
    <row r="125" spans="1:10" x14ac:dyDescent="0.35">
      <c r="A125" t="s">
        <v>151</v>
      </c>
      <c r="B125" s="2">
        <v>45762</v>
      </c>
      <c r="C125" t="s">
        <v>38</v>
      </c>
      <c r="D125" t="s">
        <v>20</v>
      </c>
      <c r="E125" s="3">
        <v>120233</v>
      </c>
      <c r="F125" t="s">
        <v>16</v>
      </c>
      <c r="G125" t="s">
        <v>25</v>
      </c>
      <c r="H125" s="3">
        <v>178032</v>
      </c>
      <c r="I125" s="3">
        <v>57799</v>
      </c>
      <c r="J125" t="str">
        <f>TEXT(tblExpenses[[#This Row],[Date]],"mmm")</f>
        <v>Apr</v>
      </c>
    </row>
    <row r="126" spans="1:10" x14ac:dyDescent="0.35">
      <c r="A126" t="s">
        <v>152</v>
      </c>
      <c r="B126" s="2">
        <v>45766</v>
      </c>
      <c r="C126" t="s">
        <v>45</v>
      </c>
      <c r="D126" t="s">
        <v>15</v>
      </c>
      <c r="E126" s="3">
        <v>89269</v>
      </c>
      <c r="F126" t="s">
        <v>12</v>
      </c>
      <c r="G126" t="s">
        <v>13</v>
      </c>
      <c r="H126" s="3">
        <v>124380</v>
      </c>
      <c r="I126" s="3">
        <v>35111</v>
      </c>
      <c r="J126" t="str">
        <f>TEXT(tblExpenses[[#This Row],[Date]],"mmm")</f>
        <v>Apr</v>
      </c>
    </row>
    <row r="127" spans="1:10" x14ac:dyDescent="0.35">
      <c r="A127" t="s">
        <v>153</v>
      </c>
      <c r="B127" s="2">
        <v>45760</v>
      </c>
      <c r="C127" t="s">
        <v>45</v>
      </c>
      <c r="D127" t="s">
        <v>61</v>
      </c>
      <c r="E127" s="3">
        <v>4754</v>
      </c>
      <c r="F127" t="s">
        <v>29</v>
      </c>
      <c r="G127" t="s">
        <v>13</v>
      </c>
      <c r="H127" s="3">
        <v>6549</v>
      </c>
      <c r="I127" s="3">
        <v>1795</v>
      </c>
      <c r="J127" t="str">
        <f>TEXT(tblExpenses[[#This Row],[Date]],"mmm")</f>
        <v>Apr</v>
      </c>
    </row>
    <row r="128" spans="1:10" x14ac:dyDescent="0.35">
      <c r="A128" t="s">
        <v>154</v>
      </c>
      <c r="B128" s="2">
        <v>45756</v>
      </c>
      <c r="C128" t="s">
        <v>45</v>
      </c>
      <c r="D128" t="s">
        <v>20</v>
      </c>
      <c r="E128" s="3">
        <v>24246</v>
      </c>
      <c r="F128" t="s">
        <v>16</v>
      </c>
      <c r="G128" t="s">
        <v>13</v>
      </c>
      <c r="H128" s="3">
        <v>25272</v>
      </c>
      <c r="I128" s="3">
        <v>1026</v>
      </c>
      <c r="J128" t="str">
        <f>TEXT(tblExpenses[[#This Row],[Date]],"mmm")</f>
        <v>Apr</v>
      </c>
    </row>
    <row r="129" spans="1:10" x14ac:dyDescent="0.35">
      <c r="A129" t="s">
        <v>155</v>
      </c>
      <c r="B129" s="2">
        <v>45749</v>
      </c>
      <c r="C129" t="s">
        <v>54</v>
      </c>
      <c r="D129" t="s">
        <v>20</v>
      </c>
      <c r="E129" s="3">
        <v>191034</v>
      </c>
      <c r="F129" t="s">
        <v>16</v>
      </c>
      <c r="G129" t="s">
        <v>25</v>
      </c>
      <c r="H129" s="3">
        <v>222680</v>
      </c>
      <c r="I129" s="3">
        <v>31646</v>
      </c>
      <c r="J129" t="str">
        <f>TEXT(tblExpenses[[#This Row],[Date]],"mmm")</f>
        <v>Apr</v>
      </c>
    </row>
    <row r="130" spans="1:10" x14ac:dyDescent="0.35">
      <c r="A130" t="s">
        <v>156</v>
      </c>
      <c r="B130" s="2">
        <v>45771</v>
      </c>
      <c r="C130" t="s">
        <v>54</v>
      </c>
      <c r="D130" t="s">
        <v>18</v>
      </c>
      <c r="E130" s="3">
        <v>4729</v>
      </c>
      <c r="F130" t="s">
        <v>23</v>
      </c>
      <c r="G130" t="s">
        <v>13</v>
      </c>
      <c r="H130" s="3">
        <v>5070</v>
      </c>
      <c r="I130" s="3">
        <v>341</v>
      </c>
      <c r="J130" t="str">
        <f>TEXT(tblExpenses[[#This Row],[Date]],"mmm")</f>
        <v>Apr</v>
      </c>
    </row>
    <row r="131" spans="1:10" x14ac:dyDescent="0.35">
      <c r="A131" t="s">
        <v>157</v>
      </c>
      <c r="B131" s="2">
        <v>45771</v>
      </c>
      <c r="C131" t="s">
        <v>54</v>
      </c>
      <c r="D131" t="s">
        <v>15</v>
      </c>
      <c r="E131" s="3">
        <v>88877</v>
      </c>
      <c r="F131" t="s">
        <v>16</v>
      </c>
      <c r="G131" t="s">
        <v>13</v>
      </c>
      <c r="H131" s="3">
        <v>116795</v>
      </c>
      <c r="I131" s="3">
        <v>27918</v>
      </c>
      <c r="J131" t="str">
        <f>TEXT(tblExpenses[[#This Row],[Date]],"mmm")</f>
        <v>Apr</v>
      </c>
    </row>
    <row r="132" spans="1:10" x14ac:dyDescent="0.35">
      <c r="A132" t="s">
        <v>158</v>
      </c>
      <c r="B132" s="2">
        <v>45767</v>
      </c>
      <c r="C132" t="s">
        <v>54</v>
      </c>
      <c r="D132" t="s">
        <v>11</v>
      </c>
      <c r="E132" s="3">
        <v>6400</v>
      </c>
      <c r="F132" t="s">
        <v>16</v>
      </c>
      <c r="G132" t="s">
        <v>25</v>
      </c>
      <c r="H132" s="3">
        <v>6400</v>
      </c>
      <c r="I132" s="3">
        <v>0</v>
      </c>
      <c r="J132" t="str">
        <f>TEXT(tblExpenses[[#This Row],[Date]],"mmm")</f>
        <v>Apr</v>
      </c>
    </row>
    <row r="133" spans="1:10" x14ac:dyDescent="0.35">
      <c r="A133" t="s">
        <v>159</v>
      </c>
      <c r="B133" s="2">
        <v>45774</v>
      </c>
      <c r="C133" t="s">
        <v>54</v>
      </c>
      <c r="D133" t="s">
        <v>18</v>
      </c>
      <c r="E133" s="3">
        <v>1348</v>
      </c>
      <c r="F133" t="s">
        <v>23</v>
      </c>
      <c r="G133" t="s">
        <v>13</v>
      </c>
      <c r="H133" s="3">
        <v>1667</v>
      </c>
      <c r="I133" s="3">
        <v>319</v>
      </c>
      <c r="J133" t="str">
        <f>TEXT(tblExpenses[[#This Row],[Date]],"mmm")</f>
        <v>Apr</v>
      </c>
    </row>
    <row r="134" spans="1:10" x14ac:dyDescent="0.35">
      <c r="A134" t="s">
        <v>160</v>
      </c>
      <c r="B134" s="2">
        <v>45804</v>
      </c>
      <c r="C134" t="s">
        <v>10</v>
      </c>
      <c r="D134" t="s">
        <v>22</v>
      </c>
      <c r="E134" s="3">
        <v>68402</v>
      </c>
      <c r="F134" t="s">
        <v>29</v>
      </c>
      <c r="G134" t="s">
        <v>25</v>
      </c>
      <c r="H134" s="3">
        <v>102011</v>
      </c>
      <c r="I134" s="3">
        <v>33609</v>
      </c>
      <c r="J134" t="str">
        <f>TEXT(tblExpenses[[#This Row],[Date]],"mmm")</f>
        <v>May</v>
      </c>
    </row>
    <row r="135" spans="1:10" x14ac:dyDescent="0.35">
      <c r="A135" t="s">
        <v>161</v>
      </c>
      <c r="B135" s="2">
        <v>45791</v>
      </c>
      <c r="C135" t="s">
        <v>10</v>
      </c>
      <c r="D135" t="s">
        <v>20</v>
      </c>
      <c r="E135" s="3">
        <v>182532</v>
      </c>
      <c r="F135" t="s">
        <v>29</v>
      </c>
      <c r="G135" t="s">
        <v>13</v>
      </c>
      <c r="H135" s="3">
        <v>238858</v>
      </c>
      <c r="I135" s="3">
        <v>56326</v>
      </c>
      <c r="J135" t="str">
        <f>TEXT(tblExpenses[[#This Row],[Date]],"mmm")</f>
        <v>May</v>
      </c>
    </row>
    <row r="136" spans="1:10" x14ac:dyDescent="0.35">
      <c r="A136" t="s">
        <v>162</v>
      </c>
      <c r="B136" s="2">
        <v>45800</v>
      </c>
      <c r="C136" t="s">
        <v>10</v>
      </c>
      <c r="D136" t="s">
        <v>18</v>
      </c>
      <c r="E136" s="3">
        <v>1898</v>
      </c>
      <c r="F136" t="s">
        <v>29</v>
      </c>
      <c r="G136" t="s">
        <v>13</v>
      </c>
      <c r="H136" s="3">
        <v>2383</v>
      </c>
      <c r="I136" s="3">
        <v>485</v>
      </c>
      <c r="J136" t="str">
        <f>TEXT(tblExpenses[[#This Row],[Date]],"mmm")</f>
        <v>May</v>
      </c>
    </row>
    <row r="137" spans="1:10" x14ac:dyDescent="0.35">
      <c r="A137" t="s">
        <v>163</v>
      </c>
      <c r="B137" s="2">
        <v>45796</v>
      </c>
      <c r="C137" t="s">
        <v>10</v>
      </c>
      <c r="D137" t="s">
        <v>61</v>
      </c>
      <c r="E137" s="3">
        <v>24873</v>
      </c>
      <c r="F137" t="s">
        <v>23</v>
      </c>
      <c r="G137" t="s">
        <v>13</v>
      </c>
      <c r="H137" s="3">
        <v>26117</v>
      </c>
      <c r="I137" s="3">
        <v>1244</v>
      </c>
      <c r="J137" t="str">
        <f>TEXT(tblExpenses[[#This Row],[Date]],"mmm")</f>
        <v>May</v>
      </c>
    </row>
    <row r="138" spans="1:10" x14ac:dyDescent="0.35">
      <c r="A138" t="s">
        <v>164</v>
      </c>
      <c r="B138" s="2">
        <v>45792</v>
      </c>
      <c r="C138" t="s">
        <v>10</v>
      </c>
      <c r="D138" t="s">
        <v>22</v>
      </c>
      <c r="E138" s="3">
        <v>96442</v>
      </c>
      <c r="F138" t="s">
        <v>23</v>
      </c>
      <c r="G138" t="s">
        <v>13</v>
      </c>
      <c r="H138" s="3">
        <v>135012</v>
      </c>
      <c r="I138" s="3">
        <v>38570</v>
      </c>
      <c r="J138" t="str">
        <f>TEXT(tblExpenses[[#This Row],[Date]],"mmm")</f>
        <v>May</v>
      </c>
    </row>
    <row r="139" spans="1:10" x14ac:dyDescent="0.35">
      <c r="A139" t="s">
        <v>165</v>
      </c>
      <c r="B139" s="2">
        <v>45778</v>
      </c>
      <c r="C139" t="s">
        <v>15</v>
      </c>
      <c r="D139" t="s">
        <v>20</v>
      </c>
      <c r="E139" s="3">
        <v>41490</v>
      </c>
      <c r="F139" t="s">
        <v>12</v>
      </c>
      <c r="G139" t="s">
        <v>13</v>
      </c>
      <c r="H139" s="3">
        <v>53195</v>
      </c>
      <c r="I139" s="3">
        <v>11705</v>
      </c>
      <c r="J139" t="str">
        <f>TEXT(tblExpenses[[#This Row],[Date]],"mmm")</f>
        <v>May</v>
      </c>
    </row>
    <row r="140" spans="1:10" x14ac:dyDescent="0.35">
      <c r="A140" t="s">
        <v>166</v>
      </c>
      <c r="B140" s="2">
        <v>45792</v>
      </c>
      <c r="C140" t="s">
        <v>15</v>
      </c>
      <c r="D140" t="s">
        <v>33</v>
      </c>
      <c r="E140" s="3">
        <v>51494</v>
      </c>
      <c r="F140" t="s">
        <v>23</v>
      </c>
      <c r="G140" t="s">
        <v>13</v>
      </c>
      <c r="H140" s="3">
        <v>76283</v>
      </c>
      <c r="I140" s="3">
        <v>24789</v>
      </c>
      <c r="J140" t="str">
        <f>TEXT(tblExpenses[[#This Row],[Date]],"mmm")</f>
        <v>May</v>
      </c>
    </row>
    <row r="141" spans="1:10" x14ac:dyDescent="0.35">
      <c r="A141" t="s">
        <v>167</v>
      </c>
      <c r="B141" s="2">
        <v>45794</v>
      </c>
      <c r="C141" t="s">
        <v>15</v>
      </c>
      <c r="D141" t="s">
        <v>31</v>
      </c>
      <c r="E141" s="3">
        <v>9202</v>
      </c>
      <c r="F141" t="s">
        <v>29</v>
      </c>
      <c r="G141" t="s">
        <v>13</v>
      </c>
      <c r="H141" s="3">
        <v>13140</v>
      </c>
      <c r="I141" s="3">
        <v>3938</v>
      </c>
      <c r="J141" t="str">
        <f>TEXT(tblExpenses[[#This Row],[Date]],"mmm")</f>
        <v>May</v>
      </c>
    </row>
    <row r="142" spans="1:10" x14ac:dyDescent="0.35">
      <c r="A142" t="s">
        <v>168</v>
      </c>
      <c r="B142" s="2">
        <v>45789</v>
      </c>
      <c r="C142" t="s">
        <v>15</v>
      </c>
      <c r="D142" t="s">
        <v>11</v>
      </c>
      <c r="E142" s="3">
        <v>13435</v>
      </c>
      <c r="F142" t="s">
        <v>12</v>
      </c>
      <c r="G142" t="s">
        <v>13</v>
      </c>
      <c r="H142" s="3">
        <v>17841</v>
      </c>
      <c r="I142" s="3">
        <v>4406</v>
      </c>
      <c r="J142" t="str">
        <f>TEXT(tblExpenses[[#This Row],[Date]],"mmm")</f>
        <v>May</v>
      </c>
    </row>
    <row r="143" spans="1:10" x14ac:dyDescent="0.35">
      <c r="A143" t="s">
        <v>169</v>
      </c>
      <c r="B143" s="2">
        <v>45804</v>
      </c>
      <c r="C143" t="s">
        <v>15</v>
      </c>
      <c r="D143" t="s">
        <v>61</v>
      </c>
      <c r="E143" s="3">
        <v>15908</v>
      </c>
      <c r="F143" t="s">
        <v>23</v>
      </c>
      <c r="G143" t="s">
        <v>13</v>
      </c>
      <c r="H143" s="3">
        <v>16451</v>
      </c>
      <c r="I143" s="3">
        <v>543</v>
      </c>
      <c r="J143" t="str">
        <f>TEXT(tblExpenses[[#This Row],[Date]],"mmm")</f>
        <v>May</v>
      </c>
    </row>
    <row r="144" spans="1:10" x14ac:dyDescent="0.35">
      <c r="A144" t="s">
        <v>170</v>
      </c>
      <c r="B144" s="2">
        <v>45794</v>
      </c>
      <c r="C144" t="s">
        <v>27</v>
      </c>
      <c r="D144" t="s">
        <v>15</v>
      </c>
      <c r="E144" s="3">
        <v>142901</v>
      </c>
      <c r="F144" t="s">
        <v>12</v>
      </c>
      <c r="G144" t="s">
        <v>13</v>
      </c>
      <c r="H144" s="3">
        <v>198304</v>
      </c>
      <c r="I144" s="3">
        <v>55403</v>
      </c>
      <c r="J144" t="str">
        <f>TEXT(tblExpenses[[#This Row],[Date]],"mmm")</f>
        <v>May</v>
      </c>
    </row>
    <row r="145" spans="1:10" x14ac:dyDescent="0.35">
      <c r="A145" t="s">
        <v>171</v>
      </c>
      <c r="B145" s="2">
        <v>45790</v>
      </c>
      <c r="C145" t="s">
        <v>27</v>
      </c>
      <c r="D145" t="s">
        <v>31</v>
      </c>
      <c r="E145" s="3">
        <v>10576</v>
      </c>
      <c r="F145" t="s">
        <v>16</v>
      </c>
      <c r="G145" t="s">
        <v>13</v>
      </c>
      <c r="H145" s="3">
        <v>13841</v>
      </c>
      <c r="I145" s="3">
        <v>3265</v>
      </c>
      <c r="J145" t="str">
        <f>TEXT(tblExpenses[[#This Row],[Date]],"mmm")</f>
        <v>May</v>
      </c>
    </row>
    <row r="146" spans="1:10" x14ac:dyDescent="0.35">
      <c r="A146" t="s">
        <v>172</v>
      </c>
      <c r="B146" s="2">
        <v>45793</v>
      </c>
      <c r="C146" t="s">
        <v>27</v>
      </c>
      <c r="D146" t="s">
        <v>18</v>
      </c>
      <c r="E146" s="3">
        <v>1290</v>
      </c>
      <c r="F146" t="s">
        <v>23</v>
      </c>
      <c r="G146" t="s">
        <v>13</v>
      </c>
      <c r="H146" s="3">
        <v>1719</v>
      </c>
      <c r="I146" s="3">
        <v>429</v>
      </c>
      <c r="J146" t="str">
        <f>TEXT(tblExpenses[[#This Row],[Date]],"mmm")</f>
        <v>May</v>
      </c>
    </row>
    <row r="147" spans="1:10" x14ac:dyDescent="0.35">
      <c r="A147" t="s">
        <v>173</v>
      </c>
      <c r="B147" s="2">
        <v>45790</v>
      </c>
      <c r="C147" t="s">
        <v>27</v>
      </c>
      <c r="D147" t="s">
        <v>11</v>
      </c>
      <c r="E147" s="3">
        <v>13403</v>
      </c>
      <c r="F147" t="s">
        <v>23</v>
      </c>
      <c r="G147" t="s">
        <v>13</v>
      </c>
      <c r="H147" s="3">
        <v>18283</v>
      </c>
      <c r="I147" s="3">
        <v>4880</v>
      </c>
      <c r="J147" t="str">
        <f>TEXT(tblExpenses[[#This Row],[Date]],"mmm")</f>
        <v>May</v>
      </c>
    </row>
    <row r="148" spans="1:10" x14ac:dyDescent="0.35">
      <c r="A148" t="s">
        <v>174</v>
      </c>
      <c r="B148" s="2">
        <v>45801</v>
      </c>
      <c r="C148" t="s">
        <v>27</v>
      </c>
      <c r="D148" t="s">
        <v>61</v>
      </c>
      <c r="E148" s="3">
        <v>6751</v>
      </c>
      <c r="F148" t="s">
        <v>16</v>
      </c>
      <c r="G148" t="s">
        <v>13</v>
      </c>
      <c r="H148" s="3">
        <v>6877</v>
      </c>
      <c r="I148" s="3">
        <v>126</v>
      </c>
      <c r="J148" t="str">
        <f>TEXT(tblExpenses[[#This Row],[Date]],"mmm")</f>
        <v>May</v>
      </c>
    </row>
    <row r="149" spans="1:10" x14ac:dyDescent="0.35">
      <c r="A149" t="s">
        <v>175</v>
      </c>
      <c r="B149" s="2">
        <v>45800</v>
      </c>
      <c r="C149" t="s">
        <v>27</v>
      </c>
      <c r="D149" t="s">
        <v>33</v>
      </c>
      <c r="E149" s="3">
        <v>27815</v>
      </c>
      <c r="F149" t="s">
        <v>23</v>
      </c>
      <c r="G149" t="s">
        <v>13</v>
      </c>
      <c r="H149" s="3">
        <v>32282</v>
      </c>
      <c r="I149" s="3">
        <v>4467</v>
      </c>
      <c r="J149" t="str">
        <f>TEXT(tblExpenses[[#This Row],[Date]],"mmm")</f>
        <v>May</v>
      </c>
    </row>
    <row r="150" spans="1:10" x14ac:dyDescent="0.35">
      <c r="A150" t="s">
        <v>176</v>
      </c>
      <c r="B150" s="2">
        <v>45792</v>
      </c>
      <c r="C150" t="s">
        <v>27</v>
      </c>
      <c r="D150" t="s">
        <v>18</v>
      </c>
      <c r="E150" s="3">
        <v>2103</v>
      </c>
      <c r="F150" t="s">
        <v>12</v>
      </c>
      <c r="G150" t="s">
        <v>13</v>
      </c>
      <c r="H150" s="3">
        <v>2368</v>
      </c>
      <c r="I150" s="3">
        <v>265</v>
      </c>
      <c r="J150" t="str">
        <f>TEXT(tblExpenses[[#This Row],[Date]],"mmm")</f>
        <v>May</v>
      </c>
    </row>
    <row r="151" spans="1:10" x14ac:dyDescent="0.35">
      <c r="A151" t="s">
        <v>177</v>
      </c>
      <c r="B151" s="2">
        <v>45803</v>
      </c>
      <c r="C151" t="s">
        <v>27</v>
      </c>
      <c r="D151" t="s">
        <v>22</v>
      </c>
      <c r="E151" s="3">
        <v>111671</v>
      </c>
      <c r="F151" t="s">
        <v>29</v>
      </c>
      <c r="G151" t="s">
        <v>13</v>
      </c>
      <c r="H151" s="3">
        <v>141182</v>
      </c>
      <c r="I151" s="3">
        <v>29511</v>
      </c>
      <c r="J151" t="str">
        <f>TEXT(tblExpenses[[#This Row],[Date]],"mmm")</f>
        <v>May</v>
      </c>
    </row>
    <row r="152" spans="1:10" x14ac:dyDescent="0.35">
      <c r="A152" t="s">
        <v>178</v>
      </c>
      <c r="B152" s="2">
        <v>45782</v>
      </c>
      <c r="C152" t="s">
        <v>38</v>
      </c>
      <c r="D152" t="s">
        <v>11</v>
      </c>
      <c r="E152" s="3">
        <v>15339</v>
      </c>
      <c r="F152" t="s">
        <v>16</v>
      </c>
      <c r="G152" t="s">
        <v>13</v>
      </c>
      <c r="H152" s="3">
        <v>15594</v>
      </c>
      <c r="I152" s="3">
        <v>255</v>
      </c>
      <c r="J152" t="str">
        <f>TEXT(tblExpenses[[#This Row],[Date]],"mmm")</f>
        <v>May</v>
      </c>
    </row>
    <row r="153" spans="1:10" x14ac:dyDescent="0.35">
      <c r="A153" t="s">
        <v>179</v>
      </c>
      <c r="B153" s="2">
        <v>45801</v>
      </c>
      <c r="C153" t="s">
        <v>38</v>
      </c>
      <c r="D153" t="s">
        <v>11</v>
      </c>
      <c r="E153" s="3">
        <v>24328</v>
      </c>
      <c r="F153" t="s">
        <v>23</v>
      </c>
      <c r="G153" t="s">
        <v>13</v>
      </c>
      <c r="H153" s="3">
        <v>26582</v>
      </c>
      <c r="I153" s="3">
        <v>2254</v>
      </c>
      <c r="J153" t="str">
        <f>TEXT(tblExpenses[[#This Row],[Date]],"mmm")</f>
        <v>May</v>
      </c>
    </row>
    <row r="154" spans="1:10" x14ac:dyDescent="0.35">
      <c r="A154" t="s">
        <v>180</v>
      </c>
      <c r="B154" s="2">
        <v>45797</v>
      </c>
      <c r="C154" t="s">
        <v>38</v>
      </c>
      <c r="D154" t="s">
        <v>20</v>
      </c>
      <c r="E154" s="3">
        <v>141294</v>
      </c>
      <c r="F154" t="s">
        <v>29</v>
      </c>
      <c r="G154" t="s">
        <v>13</v>
      </c>
      <c r="H154" s="3">
        <v>166169</v>
      </c>
      <c r="I154" s="3">
        <v>24875</v>
      </c>
      <c r="J154" t="str">
        <f>TEXT(tblExpenses[[#This Row],[Date]],"mmm")</f>
        <v>May</v>
      </c>
    </row>
    <row r="155" spans="1:10" x14ac:dyDescent="0.35">
      <c r="A155" t="s">
        <v>181</v>
      </c>
      <c r="B155" s="2">
        <v>45780</v>
      </c>
      <c r="C155" t="s">
        <v>38</v>
      </c>
      <c r="D155" t="s">
        <v>22</v>
      </c>
      <c r="E155" s="3">
        <v>119553</v>
      </c>
      <c r="F155" t="s">
        <v>29</v>
      </c>
      <c r="G155" t="s">
        <v>25</v>
      </c>
      <c r="H155" s="3">
        <v>123789</v>
      </c>
      <c r="I155" s="3">
        <v>4236</v>
      </c>
      <c r="J155" t="str">
        <f>TEXT(tblExpenses[[#This Row],[Date]],"mmm")</f>
        <v>May</v>
      </c>
    </row>
    <row r="156" spans="1:10" x14ac:dyDescent="0.35">
      <c r="A156" t="s">
        <v>182</v>
      </c>
      <c r="B156" s="2">
        <v>45797</v>
      </c>
      <c r="C156" t="s">
        <v>38</v>
      </c>
      <c r="D156" t="s">
        <v>11</v>
      </c>
      <c r="E156" s="3">
        <v>34683</v>
      </c>
      <c r="F156" t="s">
        <v>12</v>
      </c>
      <c r="G156" t="s">
        <v>13</v>
      </c>
      <c r="H156" s="3">
        <v>38681</v>
      </c>
      <c r="I156" s="3">
        <v>3998</v>
      </c>
      <c r="J156" t="str">
        <f>TEXT(tblExpenses[[#This Row],[Date]],"mmm")</f>
        <v>May</v>
      </c>
    </row>
    <row r="157" spans="1:10" x14ac:dyDescent="0.35">
      <c r="A157" t="s">
        <v>183</v>
      </c>
      <c r="B157" s="2">
        <v>45780</v>
      </c>
      <c r="C157" t="s">
        <v>38</v>
      </c>
      <c r="D157" t="s">
        <v>61</v>
      </c>
      <c r="E157" s="3">
        <v>15793</v>
      </c>
      <c r="F157" t="s">
        <v>29</v>
      </c>
      <c r="G157" t="s">
        <v>13</v>
      </c>
      <c r="H157" s="3">
        <v>21346</v>
      </c>
      <c r="I157" s="3">
        <v>5553</v>
      </c>
      <c r="J157" t="str">
        <f>TEXT(tblExpenses[[#This Row],[Date]],"mmm")</f>
        <v>May</v>
      </c>
    </row>
    <row r="158" spans="1:10" x14ac:dyDescent="0.35">
      <c r="A158" t="s">
        <v>184</v>
      </c>
      <c r="B158" s="2">
        <v>45797</v>
      </c>
      <c r="C158" t="s">
        <v>38</v>
      </c>
      <c r="D158" t="s">
        <v>18</v>
      </c>
      <c r="E158" s="3">
        <v>7489</v>
      </c>
      <c r="F158" t="s">
        <v>12</v>
      </c>
      <c r="G158" t="s">
        <v>13</v>
      </c>
      <c r="H158" s="3">
        <v>9428</v>
      </c>
      <c r="I158" s="3">
        <v>1939</v>
      </c>
      <c r="J158" t="str">
        <f>TEXT(tblExpenses[[#This Row],[Date]],"mmm")</f>
        <v>May</v>
      </c>
    </row>
    <row r="159" spans="1:10" x14ac:dyDescent="0.35">
      <c r="A159" t="s">
        <v>185</v>
      </c>
      <c r="B159" s="2">
        <v>45786</v>
      </c>
      <c r="C159" t="s">
        <v>38</v>
      </c>
      <c r="D159" t="s">
        <v>11</v>
      </c>
      <c r="E159" s="3">
        <v>40192</v>
      </c>
      <c r="F159" t="s">
        <v>16</v>
      </c>
      <c r="G159" t="s">
        <v>13</v>
      </c>
      <c r="H159" s="3">
        <v>49657</v>
      </c>
      <c r="I159" s="3">
        <v>9465</v>
      </c>
      <c r="J159" t="str">
        <f>TEXT(tblExpenses[[#This Row],[Date]],"mmm")</f>
        <v>May</v>
      </c>
    </row>
    <row r="160" spans="1:10" x14ac:dyDescent="0.35">
      <c r="A160" t="s">
        <v>186</v>
      </c>
      <c r="B160" s="2">
        <v>45779</v>
      </c>
      <c r="C160" t="s">
        <v>45</v>
      </c>
      <c r="D160" t="s">
        <v>18</v>
      </c>
      <c r="E160" s="3">
        <v>3240</v>
      </c>
      <c r="F160" t="s">
        <v>29</v>
      </c>
      <c r="G160" t="s">
        <v>13</v>
      </c>
      <c r="H160" s="3">
        <v>4679</v>
      </c>
      <c r="I160" s="3">
        <v>1439</v>
      </c>
      <c r="J160" t="str">
        <f>TEXT(tblExpenses[[#This Row],[Date]],"mmm")</f>
        <v>May</v>
      </c>
    </row>
    <row r="161" spans="1:10" x14ac:dyDescent="0.35">
      <c r="A161" t="s">
        <v>187</v>
      </c>
      <c r="B161" s="2">
        <v>45803</v>
      </c>
      <c r="C161" t="s">
        <v>45</v>
      </c>
      <c r="D161" t="s">
        <v>33</v>
      </c>
      <c r="E161" s="3">
        <v>35882</v>
      </c>
      <c r="F161" t="s">
        <v>16</v>
      </c>
      <c r="G161" t="s">
        <v>13</v>
      </c>
      <c r="H161" s="3">
        <v>44737</v>
      </c>
      <c r="I161" s="3">
        <v>8855</v>
      </c>
      <c r="J161" t="str">
        <f>TEXT(tblExpenses[[#This Row],[Date]],"mmm")</f>
        <v>May</v>
      </c>
    </row>
    <row r="162" spans="1:10" x14ac:dyDescent="0.35">
      <c r="A162" t="s">
        <v>188</v>
      </c>
      <c r="B162" s="2">
        <v>45782</v>
      </c>
      <c r="C162" t="s">
        <v>45</v>
      </c>
      <c r="D162" t="s">
        <v>11</v>
      </c>
      <c r="E162" s="3">
        <v>38138</v>
      </c>
      <c r="F162" t="s">
        <v>12</v>
      </c>
      <c r="G162" t="s">
        <v>13</v>
      </c>
      <c r="H162" s="3">
        <v>47268</v>
      </c>
      <c r="I162" s="3">
        <v>9130</v>
      </c>
      <c r="J162" t="str">
        <f>TEXT(tblExpenses[[#This Row],[Date]],"mmm")</f>
        <v>May</v>
      </c>
    </row>
    <row r="163" spans="1:10" x14ac:dyDescent="0.35">
      <c r="A163" t="s">
        <v>189</v>
      </c>
      <c r="B163" s="2">
        <v>45789</v>
      </c>
      <c r="C163" t="s">
        <v>45</v>
      </c>
      <c r="D163" t="s">
        <v>20</v>
      </c>
      <c r="E163" s="3">
        <v>143065</v>
      </c>
      <c r="F163" t="s">
        <v>23</v>
      </c>
      <c r="G163" t="s">
        <v>13</v>
      </c>
      <c r="H163" s="3">
        <v>159177</v>
      </c>
      <c r="I163" s="3">
        <v>16112</v>
      </c>
      <c r="J163" t="str">
        <f>TEXT(tblExpenses[[#This Row],[Date]],"mmm")</f>
        <v>May</v>
      </c>
    </row>
    <row r="164" spans="1:10" x14ac:dyDescent="0.35">
      <c r="A164" t="s">
        <v>190</v>
      </c>
      <c r="B164" s="2">
        <v>45803</v>
      </c>
      <c r="C164" t="s">
        <v>45</v>
      </c>
      <c r="D164" t="s">
        <v>33</v>
      </c>
      <c r="E164" s="3">
        <v>12255</v>
      </c>
      <c r="F164" t="s">
        <v>29</v>
      </c>
      <c r="G164" t="s">
        <v>25</v>
      </c>
      <c r="H164" s="3">
        <v>12416</v>
      </c>
      <c r="I164" s="3">
        <v>161</v>
      </c>
      <c r="J164" t="str">
        <f>TEXT(tblExpenses[[#This Row],[Date]],"mmm")</f>
        <v>May</v>
      </c>
    </row>
    <row r="165" spans="1:10" x14ac:dyDescent="0.35">
      <c r="A165" t="s">
        <v>191</v>
      </c>
      <c r="B165" s="2">
        <v>45790</v>
      </c>
      <c r="C165" t="s">
        <v>54</v>
      </c>
      <c r="D165" t="s">
        <v>33</v>
      </c>
      <c r="E165" s="3">
        <v>77416</v>
      </c>
      <c r="F165" t="s">
        <v>23</v>
      </c>
      <c r="G165" t="s">
        <v>13</v>
      </c>
      <c r="H165" s="3">
        <v>96080</v>
      </c>
      <c r="I165" s="3">
        <v>18664</v>
      </c>
      <c r="J165" t="str">
        <f>TEXT(tblExpenses[[#This Row],[Date]],"mmm")</f>
        <v>May</v>
      </c>
    </row>
    <row r="166" spans="1:10" x14ac:dyDescent="0.35">
      <c r="A166" t="s">
        <v>192</v>
      </c>
      <c r="B166" s="2">
        <v>45797</v>
      </c>
      <c r="C166" t="s">
        <v>54</v>
      </c>
      <c r="D166" t="s">
        <v>15</v>
      </c>
      <c r="E166" s="3">
        <v>40299</v>
      </c>
      <c r="F166" t="s">
        <v>12</v>
      </c>
      <c r="G166" t="s">
        <v>13</v>
      </c>
      <c r="H166" s="3">
        <v>49124</v>
      </c>
      <c r="I166" s="3">
        <v>8825</v>
      </c>
      <c r="J166" t="str">
        <f>TEXT(tblExpenses[[#This Row],[Date]],"mmm")</f>
        <v>May</v>
      </c>
    </row>
    <row r="167" spans="1:10" x14ac:dyDescent="0.35">
      <c r="A167" t="s">
        <v>193</v>
      </c>
      <c r="B167" s="2">
        <v>45780</v>
      </c>
      <c r="C167" t="s">
        <v>54</v>
      </c>
      <c r="D167" t="s">
        <v>22</v>
      </c>
      <c r="E167" s="3">
        <v>12592</v>
      </c>
      <c r="F167" t="s">
        <v>16</v>
      </c>
      <c r="G167" t="s">
        <v>13</v>
      </c>
      <c r="H167" s="3">
        <v>14092</v>
      </c>
      <c r="I167" s="3">
        <v>1500</v>
      </c>
      <c r="J167" t="str">
        <f>TEXT(tblExpenses[[#This Row],[Date]],"mmm")</f>
        <v>May</v>
      </c>
    </row>
    <row r="168" spans="1:10" x14ac:dyDescent="0.35">
      <c r="A168" t="s">
        <v>194</v>
      </c>
      <c r="B168" s="2">
        <v>45785</v>
      </c>
      <c r="C168" t="s">
        <v>54</v>
      </c>
      <c r="D168" t="s">
        <v>33</v>
      </c>
      <c r="E168" s="3">
        <v>6952</v>
      </c>
      <c r="F168" t="s">
        <v>16</v>
      </c>
      <c r="G168" t="s">
        <v>13</v>
      </c>
      <c r="H168" s="3">
        <v>9987</v>
      </c>
      <c r="I168" s="3">
        <v>3035</v>
      </c>
      <c r="J168" t="str">
        <f>TEXT(tblExpenses[[#This Row],[Date]],"mmm")</f>
        <v>May</v>
      </c>
    </row>
    <row r="169" spans="1:10" x14ac:dyDescent="0.35">
      <c r="A169" t="s">
        <v>195</v>
      </c>
      <c r="B169" s="2">
        <v>45788</v>
      </c>
      <c r="C169" t="s">
        <v>54</v>
      </c>
      <c r="D169" t="s">
        <v>20</v>
      </c>
      <c r="E169" s="3">
        <v>57341</v>
      </c>
      <c r="F169" t="s">
        <v>12</v>
      </c>
      <c r="G169" t="s">
        <v>25</v>
      </c>
      <c r="H169" s="3">
        <v>65443</v>
      </c>
      <c r="I169" s="3">
        <v>8102</v>
      </c>
      <c r="J169" t="str">
        <f>TEXT(tblExpenses[[#This Row],[Date]],"mmm")</f>
        <v>May</v>
      </c>
    </row>
    <row r="170" spans="1:10" x14ac:dyDescent="0.35">
      <c r="A170" t="s">
        <v>196</v>
      </c>
      <c r="B170" s="2">
        <v>45781</v>
      </c>
      <c r="C170" t="s">
        <v>54</v>
      </c>
      <c r="D170" t="s">
        <v>15</v>
      </c>
      <c r="E170" s="3">
        <v>114285</v>
      </c>
      <c r="F170" t="s">
        <v>16</v>
      </c>
      <c r="G170" t="s">
        <v>13</v>
      </c>
      <c r="H170" s="3">
        <v>141639</v>
      </c>
      <c r="I170" s="3">
        <v>27354</v>
      </c>
      <c r="J170" t="str">
        <f>TEXT(tblExpenses[[#This Row],[Date]],"mmm")</f>
        <v>May</v>
      </c>
    </row>
    <row r="171" spans="1:10" x14ac:dyDescent="0.35">
      <c r="A171" t="s">
        <v>197</v>
      </c>
      <c r="B171" s="2">
        <v>45804</v>
      </c>
      <c r="C171" t="s">
        <v>54</v>
      </c>
      <c r="D171" t="s">
        <v>18</v>
      </c>
      <c r="E171" s="3">
        <v>4554</v>
      </c>
      <c r="F171" t="s">
        <v>12</v>
      </c>
      <c r="G171" t="s">
        <v>13</v>
      </c>
      <c r="H171" s="3">
        <v>6160</v>
      </c>
      <c r="I171" s="3">
        <v>1606</v>
      </c>
      <c r="J171" t="str">
        <f>TEXT(tblExpenses[[#This Row],[Date]],"mmm")</f>
        <v>May</v>
      </c>
    </row>
    <row r="172" spans="1:10" x14ac:dyDescent="0.35">
      <c r="A172" t="s">
        <v>198</v>
      </c>
      <c r="B172" s="2">
        <v>45805</v>
      </c>
      <c r="C172" t="s">
        <v>54</v>
      </c>
      <c r="D172" t="s">
        <v>31</v>
      </c>
      <c r="E172" s="3">
        <v>13782</v>
      </c>
      <c r="F172" t="s">
        <v>29</v>
      </c>
      <c r="G172" t="s">
        <v>25</v>
      </c>
      <c r="H172" s="3">
        <v>17582</v>
      </c>
      <c r="I172" s="3">
        <v>3800</v>
      </c>
      <c r="J172" t="str">
        <f>TEXT(tblExpenses[[#This Row],[Date]],"mmm")</f>
        <v>May</v>
      </c>
    </row>
    <row r="173" spans="1:10" x14ac:dyDescent="0.35">
      <c r="A173" t="s">
        <v>199</v>
      </c>
      <c r="B173" s="2">
        <v>45822</v>
      </c>
      <c r="C173" t="s">
        <v>10</v>
      </c>
      <c r="D173" t="s">
        <v>11</v>
      </c>
      <c r="E173" s="3">
        <v>5538</v>
      </c>
      <c r="F173" t="s">
        <v>23</v>
      </c>
      <c r="G173" t="s">
        <v>13</v>
      </c>
      <c r="H173" s="3">
        <v>6498</v>
      </c>
      <c r="I173" s="3">
        <v>960</v>
      </c>
      <c r="J173" t="str">
        <f>TEXT(tblExpenses[[#This Row],[Date]],"mmm")</f>
        <v>Jun</v>
      </c>
    </row>
    <row r="174" spans="1:10" x14ac:dyDescent="0.35">
      <c r="A174" t="s">
        <v>200</v>
      </c>
      <c r="B174" s="2">
        <v>45832</v>
      </c>
      <c r="C174" t="s">
        <v>10</v>
      </c>
      <c r="D174" t="s">
        <v>15</v>
      </c>
      <c r="E174" s="3">
        <v>146575</v>
      </c>
      <c r="F174" t="s">
        <v>29</v>
      </c>
      <c r="G174" t="s">
        <v>13</v>
      </c>
      <c r="H174" s="3">
        <v>163470</v>
      </c>
      <c r="I174" s="3">
        <v>16895</v>
      </c>
      <c r="J174" t="str">
        <f>TEXT(tblExpenses[[#This Row],[Date]],"mmm")</f>
        <v>Jun</v>
      </c>
    </row>
    <row r="175" spans="1:10" x14ac:dyDescent="0.35">
      <c r="A175" t="s">
        <v>201</v>
      </c>
      <c r="B175" s="2">
        <v>45829</v>
      </c>
      <c r="C175" t="s">
        <v>10</v>
      </c>
      <c r="D175" t="s">
        <v>33</v>
      </c>
      <c r="E175" s="3">
        <v>35815</v>
      </c>
      <c r="F175" t="s">
        <v>23</v>
      </c>
      <c r="G175" t="s">
        <v>13</v>
      </c>
      <c r="H175" s="3">
        <v>48321</v>
      </c>
      <c r="I175" s="3">
        <v>12506</v>
      </c>
      <c r="J175" t="str">
        <f>TEXT(tblExpenses[[#This Row],[Date]],"mmm")</f>
        <v>Jun</v>
      </c>
    </row>
    <row r="176" spans="1:10" x14ac:dyDescent="0.35">
      <c r="A176" t="s">
        <v>202</v>
      </c>
      <c r="B176" s="2">
        <v>45821</v>
      </c>
      <c r="C176" t="s">
        <v>10</v>
      </c>
      <c r="D176" t="s">
        <v>33</v>
      </c>
      <c r="E176" s="3">
        <v>40428</v>
      </c>
      <c r="F176" t="s">
        <v>12</v>
      </c>
      <c r="G176" t="s">
        <v>13</v>
      </c>
      <c r="H176" s="3">
        <v>46047</v>
      </c>
      <c r="I176" s="3">
        <v>5619</v>
      </c>
      <c r="J176" t="str">
        <f>TEXT(tblExpenses[[#This Row],[Date]],"mmm")</f>
        <v>Jun</v>
      </c>
    </row>
    <row r="177" spans="1:10" x14ac:dyDescent="0.35">
      <c r="A177" t="s">
        <v>203</v>
      </c>
      <c r="B177" s="2">
        <v>45821</v>
      </c>
      <c r="C177" t="s">
        <v>10</v>
      </c>
      <c r="D177" t="s">
        <v>22</v>
      </c>
      <c r="E177" s="3">
        <v>69927</v>
      </c>
      <c r="F177" t="s">
        <v>23</v>
      </c>
      <c r="G177" t="s">
        <v>13</v>
      </c>
      <c r="H177" s="3">
        <v>70586</v>
      </c>
      <c r="I177" s="3">
        <v>659</v>
      </c>
      <c r="J177" t="str">
        <f>TEXT(tblExpenses[[#This Row],[Date]],"mmm")</f>
        <v>Jun</v>
      </c>
    </row>
    <row r="178" spans="1:10" x14ac:dyDescent="0.35">
      <c r="A178" t="s">
        <v>204</v>
      </c>
      <c r="B178" s="2">
        <v>45822</v>
      </c>
      <c r="C178" t="s">
        <v>10</v>
      </c>
      <c r="D178" t="s">
        <v>18</v>
      </c>
      <c r="E178" s="3">
        <v>3607</v>
      </c>
      <c r="F178" t="s">
        <v>16</v>
      </c>
      <c r="G178" t="s">
        <v>13</v>
      </c>
      <c r="H178" s="3">
        <v>3940</v>
      </c>
      <c r="I178" s="3">
        <v>333</v>
      </c>
      <c r="J178" t="str">
        <f>TEXT(tblExpenses[[#This Row],[Date]],"mmm")</f>
        <v>Jun</v>
      </c>
    </row>
    <row r="179" spans="1:10" x14ac:dyDescent="0.35">
      <c r="A179" t="s">
        <v>205</v>
      </c>
      <c r="B179" s="2">
        <v>45833</v>
      </c>
      <c r="C179" t="s">
        <v>10</v>
      </c>
      <c r="D179" t="s">
        <v>31</v>
      </c>
      <c r="E179" s="3">
        <v>1425</v>
      </c>
      <c r="F179" t="s">
        <v>12</v>
      </c>
      <c r="G179" t="s">
        <v>13</v>
      </c>
      <c r="H179" s="3">
        <v>2073</v>
      </c>
      <c r="I179" s="3">
        <v>648</v>
      </c>
      <c r="J179" t="str">
        <f>TEXT(tblExpenses[[#This Row],[Date]],"mmm")</f>
        <v>Jun</v>
      </c>
    </row>
    <row r="180" spans="1:10" x14ac:dyDescent="0.35">
      <c r="A180" t="s">
        <v>206</v>
      </c>
      <c r="B180" s="2">
        <v>45828</v>
      </c>
      <c r="C180" t="s">
        <v>10</v>
      </c>
      <c r="D180" t="s">
        <v>33</v>
      </c>
      <c r="E180" s="3">
        <v>49688</v>
      </c>
      <c r="F180" t="s">
        <v>23</v>
      </c>
      <c r="G180" t="s">
        <v>13</v>
      </c>
      <c r="H180" s="3">
        <v>67719</v>
      </c>
      <c r="I180" s="3">
        <v>18031</v>
      </c>
      <c r="J180" t="str">
        <f>TEXT(tblExpenses[[#This Row],[Date]],"mmm")</f>
        <v>Jun</v>
      </c>
    </row>
    <row r="181" spans="1:10" x14ac:dyDescent="0.35">
      <c r="A181" t="s">
        <v>207</v>
      </c>
      <c r="B181" s="2">
        <v>45818</v>
      </c>
      <c r="C181" t="s">
        <v>15</v>
      </c>
      <c r="D181" t="s">
        <v>22</v>
      </c>
      <c r="E181" s="3">
        <v>99541</v>
      </c>
      <c r="F181" t="s">
        <v>23</v>
      </c>
      <c r="G181" t="s">
        <v>13</v>
      </c>
      <c r="H181" s="3">
        <v>145951</v>
      </c>
      <c r="I181" s="3">
        <v>46410</v>
      </c>
      <c r="J181" t="str">
        <f>TEXT(tblExpenses[[#This Row],[Date]],"mmm")</f>
        <v>Jun</v>
      </c>
    </row>
    <row r="182" spans="1:10" x14ac:dyDescent="0.35">
      <c r="A182" t="s">
        <v>208</v>
      </c>
      <c r="B182" s="2">
        <v>45823</v>
      </c>
      <c r="C182" t="s">
        <v>15</v>
      </c>
      <c r="D182" t="s">
        <v>61</v>
      </c>
      <c r="E182" s="3">
        <v>8326</v>
      </c>
      <c r="F182" t="s">
        <v>29</v>
      </c>
      <c r="G182" t="s">
        <v>13</v>
      </c>
      <c r="H182" s="3">
        <v>12324</v>
      </c>
      <c r="I182" s="3">
        <v>3998</v>
      </c>
      <c r="J182" t="str">
        <f>TEXT(tblExpenses[[#This Row],[Date]],"mmm")</f>
        <v>Jun</v>
      </c>
    </row>
    <row r="183" spans="1:10" x14ac:dyDescent="0.35">
      <c r="A183" t="s">
        <v>209</v>
      </c>
      <c r="B183" s="2">
        <v>45833</v>
      </c>
      <c r="C183" t="s">
        <v>15</v>
      </c>
      <c r="D183" t="s">
        <v>61</v>
      </c>
      <c r="E183" s="3">
        <v>5802</v>
      </c>
      <c r="F183" t="s">
        <v>12</v>
      </c>
      <c r="G183" t="s">
        <v>13</v>
      </c>
      <c r="H183" s="3">
        <v>8700</v>
      </c>
      <c r="I183" s="3">
        <v>2898</v>
      </c>
      <c r="J183" t="str">
        <f>TEXT(tblExpenses[[#This Row],[Date]],"mmm")</f>
        <v>Jun</v>
      </c>
    </row>
    <row r="184" spans="1:10" x14ac:dyDescent="0.35">
      <c r="A184" t="s">
        <v>210</v>
      </c>
      <c r="B184" s="2">
        <v>45830</v>
      </c>
      <c r="C184" t="s">
        <v>15</v>
      </c>
      <c r="D184" t="s">
        <v>33</v>
      </c>
      <c r="E184" s="3">
        <v>40949</v>
      </c>
      <c r="F184" t="s">
        <v>12</v>
      </c>
      <c r="G184" t="s">
        <v>25</v>
      </c>
      <c r="H184" s="3">
        <v>48355</v>
      </c>
      <c r="I184" s="3">
        <v>7406</v>
      </c>
      <c r="J184" t="str">
        <f>TEXT(tblExpenses[[#This Row],[Date]],"mmm")</f>
        <v>Jun</v>
      </c>
    </row>
    <row r="185" spans="1:10" x14ac:dyDescent="0.35">
      <c r="A185" t="s">
        <v>211</v>
      </c>
      <c r="B185" s="2">
        <v>45835</v>
      </c>
      <c r="C185" t="s">
        <v>15</v>
      </c>
      <c r="D185" t="s">
        <v>61</v>
      </c>
      <c r="E185" s="3">
        <v>21626</v>
      </c>
      <c r="F185" t="s">
        <v>12</v>
      </c>
      <c r="G185" t="s">
        <v>13</v>
      </c>
      <c r="H185" s="3">
        <v>28771</v>
      </c>
      <c r="I185" s="3">
        <v>7145</v>
      </c>
      <c r="J185" t="str">
        <f>TEXT(tblExpenses[[#This Row],[Date]],"mmm")</f>
        <v>Jun</v>
      </c>
    </row>
    <row r="186" spans="1:10" x14ac:dyDescent="0.35">
      <c r="A186" t="s">
        <v>212</v>
      </c>
      <c r="B186" s="2">
        <v>45810</v>
      </c>
      <c r="C186" t="s">
        <v>15</v>
      </c>
      <c r="D186" t="s">
        <v>33</v>
      </c>
      <c r="E186" s="3">
        <v>62659</v>
      </c>
      <c r="F186" t="s">
        <v>12</v>
      </c>
      <c r="G186" t="s">
        <v>13</v>
      </c>
      <c r="H186" s="3">
        <v>62937</v>
      </c>
      <c r="I186" s="3">
        <v>278</v>
      </c>
      <c r="J186" t="str">
        <f>TEXT(tblExpenses[[#This Row],[Date]],"mmm")</f>
        <v>Jun</v>
      </c>
    </row>
    <row r="187" spans="1:10" x14ac:dyDescent="0.35">
      <c r="A187" t="s">
        <v>213</v>
      </c>
      <c r="B187" s="2">
        <v>45811</v>
      </c>
      <c r="C187" t="s">
        <v>15</v>
      </c>
      <c r="D187" t="s">
        <v>22</v>
      </c>
      <c r="E187" s="3">
        <v>12678</v>
      </c>
      <c r="F187" t="s">
        <v>12</v>
      </c>
      <c r="G187" t="s">
        <v>25</v>
      </c>
      <c r="H187" s="3">
        <v>16352</v>
      </c>
      <c r="I187" s="3">
        <v>3674</v>
      </c>
      <c r="J187" t="str">
        <f>TEXT(tblExpenses[[#This Row],[Date]],"mmm")</f>
        <v>Jun</v>
      </c>
    </row>
    <row r="188" spans="1:10" x14ac:dyDescent="0.35">
      <c r="A188" t="s">
        <v>214</v>
      </c>
      <c r="B188" s="2">
        <v>45834</v>
      </c>
      <c r="C188" t="s">
        <v>27</v>
      </c>
      <c r="D188" t="s">
        <v>20</v>
      </c>
      <c r="E188" s="3">
        <v>57134</v>
      </c>
      <c r="F188" t="s">
        <v>12</v>
      </c>
      <c r="G188" t="s">
        <v>13</v>
      </c>
      <c r="H188" s="3">
        <v>64504</v>
      </c>
      <c r="I188" s="3">
        <v>7370</v>
      </c>
      <c r="J188" t="str">
        <f>TEXT(tblExpenses[[#This Row],[Date]],"mmm")</f>
        <v>Jun</v>
      </c>
    </row>
    <row r="189" spans="1:10" x14ac:dyDescent="0.35">
      <c r="A189" t="s">
        <v>215</v>
      </c>
      <c r="B189" s="2">
        <v>45836</v>
      </c>
      <c r="C189" t="s">
        <v>27</v>
      </c>
      <c r="D189" t="s">
        <v>18</v>
      </c>
      <c r="E189" s="3">
        <v>5663</v>
      </c>
      <c r="F189" t="s">
        <v>16</v>
      </c>
      <c r="G189" t="s">
        <v>13</v>
      </c>
      <c r="H189" s="3">
        <v>6157</v>
      </c>
      <c r="I189" s="3">
        <v>494</v>
      </c>
      <c r="J189" t="str">
        <f>TEXT(tblExpenses[[#This Row],[Date]],"mmm")</f>
        <v>Jun</v>
      </c>
    </row>
    <row r="190" spans="1:10" x14ac:dyDescent="0.35">
      <c r="A190" t="s">
        <v>216</v>
      </c>
      <c r="B190" s="2">
        <v>45836</v>
      </c>
      <c r="C190" t="s">
        <v>27</v>
      </c>
      <c r="D190" t="s">
        <v>33</v>
      </c>
      <c r="E190" s="3">
        <v>29150</v>
      </c>
      <c r="F190" t="s">
        <v>23</v>
      </c>
      <c r="G190" t="s">
        <v>25</v>
      </c>
      <c r="H190" s="3">
        <v>39126</v>
      </c>
      <c r="I190" s="3">
        <v>9976</v>
      </c>
      <c r="J190" t="str">
        <f>TEXT(tblExpenses[[#This Row],[Date]],"mmm")</f>
        <v>Jun</v>
      </c>
    </row>
    <row r="191" spans="1:10" x14ac:dyDescent="0.35">
      <c r="A191" t="s">
        <v>217</v>
      </c>
      <c r="B191" s="2">
        <v>45817</v>
      </c>
      <c r="C191" t="s">
        <v>38</v>
      </c>
      <c r="D191" t="s">
        <v>18</v>
      </c>
      <c r="E191" s="3">
        <v>998</v>
      </c>
      <c r="F191" t="s">
        <v>12</v>
      </c>
      <c r="G191" t="s">
        <v>13</v>
      </c>
      <c r="H191" s="3">
        <v>1473</v>
      </c>
      <c r="I191" s="3">
        <v>475</v>
      </c>
      <c r="J191" t="str">
        <f>TEXT(tblExpenses[[#This Row],[Date]],"mmm")</f>
        <v>Jun</v>
      </c>
    </row>
    <row r="192" spans="1:10" x14ac:dyDescent="0.35">
      <c r="A192" t="s">
        <v>218</v>
      </c>
      <c r="B192" s="2">
        <v>45811</v>
      </c>
      <c r="C192" t="s">
        <v>38</v>
      </c>
      <c r="D192" t="s">
        <v>33</v>
      </c>
      <c r="E192" s="3">
        <v>35762</v>
      </c>
      <c r="F192" t="s">
        <v>23</v>
      </c>
      <c r="G192" t="s">
        <v>13</v>
      </c>
      <c r="H192" s="3">
        <v>42016</v>
      </c>
      <c r="I192" s="3">
        <v>6254</v>
      </c>
      <c r="J192" t="str">
        <f>TEXT(tblExpenses[[#This Row],[Date]],"mmm")</f>
        <v>Jun</v>
      </c>
    </row>
    <row r="193" spans="1:10" x14ac:dyDescent="0.35">
      <c r="A193" t="s">
        <v>219</v>
      </c>
      <c r="B193" s="2">
        <v>45820</v>
      </c>
      <c r="C193" t="s">
        <v>38</v>
      </c>
      <c r="D193" t="s">
        <v>18</v>
      </c>
      <c r="E193" s="3">
        <v>2171</v>
      </c>
      <c r="F193" t="s">
        <v>23</v>
      </c>
      <c r="G193" t="s">
        <v>13</v>
      </c>
      <c r="H193" s="3">
        <v>2525</v>
      </c>
      <c r="I193" s="3">
        <v>354</v>
      </c>
      <c r="J193" t="str">
        <f>TEXT(tblExpenses[[#This Row],[Date]],"mmm")</f>
        <v>Jun</v>
      </c>
    </row>
    <row r="194" spans="1:10" x14ac:dyDescent="0.35">
      <c r="A194" t="s">
        <v>220</v>
      </c>
      <c r="B194" s="2">
        <v>45834</v>
      </c>
      <c r="C194" t="s">
        <v>38</v>
      </c>
      <c r="D194" t="s">
        <v>15</v>
      </c>
      <c r="E194" s="3">
        <v>16473</v>
      </c>
      <c r="F194" t="s">
        <v>12</v>
      </c>
      <c r="G194" t="s">
        <v>13</v>
      </c>
      <c r="H194" s="3">
        <v>19163</v>
      </c>
      <c r="I194" s="3">
        <v>2690</v>
      </c>
      <c r="J194" t="str">
        <f>TEXT(tblExpenses[[#This Row],[Date]],"mmm")</f>
        <v>Jun</v>
      </c>
    </row>
    <row r="195" spans="1:10" x14ac:dyDescent="0.35">
      <c r="A195" t="s">
        <v>221</v>
      </c>
      <c r="B195" s="2">
        <v>45818</v>
      </c>
      <c r="C195" t="s">
        <v>38</v>
      </c>
      <c r="D195" t="s">
        <v>31</v>
      </c>
      <c r="E195" s="3">
        <v>8711</v>
      </c>
      <c r="F195" t="s">
        <v>16</v>
      </c>
      <c r="G195" t="s">
        <v>13</v>
      </c>
      <c r="H195" s="3">
        <v>12816</v>
      </c>
      <c r="I195" s="3">
        <v>4105</v>
      </c>
      <c r="J195" t="str">
        <f>TEXT(tblExpenses[[#This Row],[Date]],"mmm")</f>
        <v>Jun</v>
      </c>
    </row>
    <row r="196" spans="1:10" x14ac:dyDescent="0.35">
      <c r="A196" t="s">
        <v>222</v>
      </c>
      <c r="B196" s="2">
        <v>45809</v>
      </c>
      <c r="C196" t="s">
        <v>38</v>
      </c>
      <c r="D196" t="s">
        <v>61</v>
      </c>
      <c r="E196" s="3">
        <v>7917</v>
      </c>
      <c r="F196" t="s">
        <v>16</v>
      </c>
      <c r="G196" t="s">
        <v>25</v>
      </c>
      <c r="H196" s="3">
        <v>11527</v>
      </c>
      <c r="I196" s="3">
        <v>3610</v>
      </c>
      <c r="J196" t="str">
        <f>TEXT(tblExpenses[[#This Row],[Date]],"mmm")</f>
        <v>Jun</v>
      </c>
    </row>
    <row r="197" spans="1:10" x14ac:dyDescent="0.35">
      <c r="A197" t="s">
        <v>223</v>
      </c>
      <c r="B197" s="2">
        <v>45827</v>
      </c>
      <c r="C197" t="s">
        <v>38</v>
      </c>
      <c r="D197" t="s">
        <v>31</v>
      </c>
      <c r="E197" s="3">
        <v>4520</v>
      </c>
      <c r="F197" t="s">
        <v>16</v>
      </c>
      <c r="G197" t="s">
        <v>13</v>
      </c>
      <c r="H197" s="3">
        <v>5376</v>
      </c>
      <c r="I197" s="3">
        <v>856</v>
      </c>
      <c r="J197" t="str">
        <f>TEXT(tblExpenses[[#This Row],[Date]],"mmm")</f>
        <v>Jun</v>
      </c>
    </row>
    <row r="198" spans="1:10" x14ac:dyDescent="0.35">
      <c r="A198" t="s">
        <v>224</v>
      </c>
      <c r="B198" s="2">
        <v>45827</v>
      </c>
      <c r="C198" t="s">
        <v>45</v>
      </c>
      <c r="D198" t="s">
        <v>11</v>
      </c>
      <c r="E198" s="3">
        <v>16718</v>
      </c>
      <c r="F198" t="s">
        <v>23</v>
      </c>
      <c r="G198" t="s">
        <v>25</v>
      </c>
      <c r="H198" s="3">
        <v>21444</v>
      </c>
      <c r="I198" s="3">
        <v>4726</v>
      </c>
      <c r="J198" t="str">
        <f>TEXT(tblExpenses[[#This Row],[Date]],"mmm")</f>
        <v>Jun</v>
      </c>
    </row>
    <row r="199" spans="1:10" x14ac:dyDescent="0.35">
      <c r="A199" t="s">
        <v>225</v>
      </c>
      <c r="B199" s="2">
        <v>45825</v>
      </c>
      <c r="C199" t="s">
        <v>45</v>
      </c>
      <c r="D199" t="s">
        <v>33</v>
      </c>
      <c r="E199" s="3">
        <v>66909</v>
      </c>
      <c r="F199" t="s">
        <v>23</v>
      </c>
      <c r="G199" t="s">
        <v>13</v>
      </c>
      <c r="H199" s="3">
        <v>88962</v>
      </c>
      <c r="I199" s="3">
        <v>22053</v>
      </c>
      <c r="J199" t="str">
        <f>TEXT(tblExpenses[[#This Row],[Date]],"mmm")</f>
        <v>Jun</v>
      </c>
    </row>
    <row r="200" spans="1:10" x14ac:dyDescent="0.35">
      <c r="A200" t="s">
        <v>226</v>
      </c>
      <c r="B200" s="2">
        <v>45834</v>
      </c>
      <c r="C200" t="s">
        <v>45</v>
      </c>
      <c r="D200" t="s">
        <v>61</v>
      </c>
      <c r="E200" s="3">
        <v>10996</v>
      </c>
      <c r="F200" t="s">
        <v>12</v>
      </c>
      <c r="G200" t="s">
        <v>13</v>
      </c>
      <c r="H200" s="3">
        <v>12803</v>
      </c>
      <c r="I200" s="3">
        <v>1807</v>
      </c>
      <c r="J200" t="str">
        <f>TEXT(tblExpenses[[#This Row],[Date]],"mmm")</f>
        <v>Jun</v>
      </c>
    </row>
    <row r="201" spans="1:10" x14ac:dyDescent="0.35">
      <c r="A201" t="s">
        <v>227</v>
      </c>
      <c r="B201" s="2">
        <v>45832</v>
      </c>
      <c r="C201" t="s">
        <v>54</v>
      </c>
      <c r="D201" t="s">
        <v>11</v>
      </c>
      <c r="E201" s="3">
        <v>47421</v>
      </c>
      <c r="F201" t="s">
        <v>23</v>
      </c>
      <c r="G201" t="s">
        <v>13</v>
      </c>
      <c r="H201" s="3">
        <v>53136</v>
      </c>
      <c r="I201" s="3">
        <v>5715</v>
      </c>
      <c r="J201" t="str">
        <f>TEXT(tblExpenses[[#This Row],[Date]],"mmm")</f>
        <v>Jun</v>
      </c>
    </row>
    <row r="202" spans="1:10" x14ac:dyDescent="0.35">
      <c r="A202" t="s">
        <v>228</v>
      </c>
      <c r="B202" s="2">
        <v>45828</v>
      </c>
      <c r="C202" t="s">
        <v>54</v>
      </c>
      <c r="D202" t="s">
        <v>11</v>
      </c>
      <c r="E202" s="3">
        <v>25743</v>
      </c>
      <c r="F202" t="s">
        <v>29</v>
      </c>
      <c r="G202" t="s">
        <v>13</v>
      </c>
      <c r="H202" s="3">
        <v>34152</v>
      </c>
      <c r="I202" s="3">
        <v>8409</v>
      </c>
      <c r="J202" t="str">
        <f>TEXT(tblExpenses[[#This Row],[Date]],"mmm")</f>
        <v>Jun</v>
      </c>
    </row>
    <row r="203" spans="1:10" x14ac:dyDescent="0.35">
      <c r="A203" t="s">
        <v>229</v>
      </c>
      <c r="B203" s="2">
        <v>45822</v>
      </c>
      <c r="C203" t="s">
        <v>54</v>
      </c>
      <c r="D203" t="s">
        <v>15</v>
      </c>
      <c r="E203" s="3">
        <v>74210</v>
      </c>
      <c r="F203" t="s">
        <v>29</v>
      </c>
      <c r="G203" t="s">
        <v>25</v>
      </c>
      <c r="H203" s="3">
        <v>103020</v>
      </c>
      <c r="I203" s="3">
        <v>28810</v>
      </c>
      <c r="J203" t="str">
        <f>TEXT(tblExpenses[[#This Row],[Date]],"mmm")</f>
        <v>Jun</v>
      </c>
    </row>
    <row r="204" spans="1:10" x14ac:dyDescent="0.35">
      <c r="A204" t="s">
        <v>230</v>
      </c>
      <c r="B204" s="2">
        <v>45822</v>
      </c>
      <c r="C204" t="s">
        <v>54</v>
      </c>
      <c r="D204" t="s">
        <v>31</v>
      </c>
      <c r="E204" s="3">
        <v>6142</v>
      </c>
      <c r="F204" t="s">
        <v>23</v>
      </c>
      <c r="G204" t="s">
        <v>25</v>
      </c>
      <c r="H204" s="3">
        <v>6504</v>
      </c>
      <c r="I204" s="3">
        <v>362</v>
      </c>
      <c r="J204" t="str">
        <f>TEXT(tblExpenses[[#This Row],[Date]],"mmm")</f>
        <v>Jun</v>
      </c>
    </row>
    <row r="205" spans="1:10" x14ac:dyDescent="0.35">
      <c r="A205" t="s">
        <v>231</v>
      </c>
      <c r="B205" s="2">
        <v>45815</v>
      </c>
      <c r="C205" t="s">
        <v>54</v>
      </c>
      <c r="D205" t="s">
        <v>20</v>
      </c>
      <c r="E205" s="3">
        <v>175840</v>
      </c>
      <c r="F205" t="s">
        <v>29</v>
      </c>
      <c r="G205" t="s">
        <v>13</v>
      </c>
      <c r="H205" s="3">
        <v>253336</v>
      </c>
      <c r="I205" s="3">
        <v>77496</v>
      </c>
      <c r="J205" t="str">
        <f>TEXT(tblExpenses[[#This Row],[Date]],"mmm")</f>
        <v>Jun</v>
      </c>
    </row>
    <row r="206" spans="1:10" x14ac:dyDescent="0.35">
      <c r="A206" t="s">
        <v>232</v>
      </c>
      <c r="B206" s="2">
        <v>45826</v>
      </c>
      <c r="C206" t="s">
        <v>54</v>
      </c>
      <c r="D206" t="s">
        <v>11</v>
      </c>
      <c r="E206" s="3">
        <v>29435</v>
      </c>
      <c r="F206" t="s">
        <v>23</v>
      </c>
      <c r="G206" t="s">
        <v>13</v>
      </c>
      <c r="H206" s="3">
        <v>33311</v>
      </c>
      <c r="I206" s="3">
        <v>3876</v>
      </c>
      <c r="J206" t="str">
        <f>TEXT(tblExpenses[[#This Row],[Date]],"mmm")</f>
        <v>Jun</v>
      </c>
    </row>
    <row r="207" spans="1:10" x14ac:dyDescent="0.35">
      <c r="A207" t="s">
        <v>233</v>
      </c>
      <c r="B207" s="2">
        <v>45811</v>
      </c>
      <c r="C207" t="s">
        <v>54</v>
      </c>
      <c r="D207" t="s">
        <v>22</v>
      </c>
      <c r="E207" s="3">
        <v>8136</v>
      </c>
      <c r="F207" t="s">
        <v>29</v>
      </c>
      <c r="G207" t="s">
        <v>25</v>
      </c>
      <c r="H207" s="3">
        <v>10943</v>
      </c>
      <c r="I207" s="3">
        <v>2807</v>
      </c>
      <c r="J207" t="str">
        <f>TEXT(tblExpenses[[#This Row],[Date]],"mmm")</f>
        <v>Jun</v>
      </c>
    </row>
    <row r="208" spans="1:10" x14ac:dyDescent="0.35">
      <c r="A208" t="s">
        <v>234</v>
      </c>
      <c r="B208" s="2">
        <v>45831</v>
      </c>
      <c r="C208" t="s">
        <v>54</v>
      </c>
      <c r="D208" t="s">
        <v>22</v>
      </c>
      <c r="E208" s="3">
        <v>51447</v>
      </c>
      <c r="F208" t="s">
        <v>29</v>
      </c>
      <c r="G208" t="s">
        <v>13</v>
      </c>
      <c r="H208" s="3">
        <v>54726</v>
      </c>
      <c r="I208" s="3">
        <v>3279</v>
      </c>
      <c r="J208" t="str">
        <f>TEXT(tblExpenses[[#This Row],[Date]],"mmm")</f>
        <v>Jun</v>
      </c>
    </row>
    <row r="209" spans="1:10" x14ac:dyDescent="0.35">
      <c r="A209" t="s">
        <v>235</v>
      </c>
      <c r="B209" s="2">
        <v>45862</v>
      </c>
      <c r="C209" t="s">
        <v>10</v>
      </c>
      <c r="D209" t="s">
        <v>11</v>
      </c>
      <c r="E209" s="3">
        <v>49328</v>
      </c>
      <c r="F209" t="s">
        <v>12</v>
      </c>
      <c r="G209" t="s">
        <v>13</v>
      </c>
      <c r="H209" s="3">
        <v>50444</v>
      </c>
      <c r="I209" s="3">
        <v>1116</v>
      </c>
      <c r="J209" t="str">
        <f>TEXT(tblExpenses[[#This Row],[Date]],"mmm")</f>
        <v>Jul</v>
      </c>
    </row>
    <row r="210" spans="1:10" x14ac:dyDescent="0.35">
      <c r="A210" t="s">
        <v>236</v>
      </c>
      <c r="B210" s="2">
        <v>45854</v>
      </c>
      <c r="C210" t="s">
        <v>10</v>
      </c>
      <c r="D210" t="s">
        <v>20</v>
      </c>
      <c r="E210" s="3">
        <v>124213</v>
      </c>
      <c r="F210" t="s">
        <v>29</v>
      </c>
      <c r="G210" t="s">
        <v>13</v>
      </c>
      <c r="H210" s="3">
        <v>142180</v>
      </c>
      <c r="I210" s="3">
        <v>17967</v>
      </c>
      <c r="J210" t="str">
        <f>TEXT(tblExpenses[[#This Row],[Date]],"mmm")</f>
        <v>Jul</v>
      </c>
    </row>
    <row r="211" spans="1:10" x14ac:dyDescent="0.35">
      <c r="A211" t="s">
        <v>237</v>
      </c>
      <c r="B211" s="2">
        <v>45857</v>
      </c>
      <c r="C211" t="s">
        <v>10</v>
      </c>
      <c r="D211" t="s">
        <v>11</v>
      </c>
      <c r="E211" s="3">
        <v>11978</v>
      </c>
      <c r="F211" t="s">
        <v>12</v>
      </c>
      <c r="G211" t="s">
        <v>13</v>
      </c>
      <c r="H211" s="3">
        <v>17342</v>
      </c>
      <c r="I211" s="3">
        <v>5364</v>
      </c>
      <c r="J211" t="str">
        <f>TEXT(tblExpenses[[#This Row],[Date]],"mmm")</f>
        <v>Jul</v>
      </c>
    </row>
    <row r="212" spans="1:10" x14ac:dyDescent="0.35">
      <c r="A212" t="s">
        <v>238</v>
      </c>
      <c r="B212" s="2">
        <v>45857</v>
      </c>
      <c r="C212" t="s">
        <v>10</v>
      </c>
      <c r="D212" t="s">
        <v>20</v>
      </c>
      <c r="E212" s="3">
        <v>56326</v>
      </c>
      <c r="F212" t="s">
        <v>12</v>
      </c>
      <c r="G212" t="s">
        <v>13</v>
      </c>
      <c r="H212" s="3">
        <v>70652</v>
      </c>
      <c r="I212" s="3">
        <v>14326</v>
      </c>
      <c r="J212" t="str">
        <f>TEXT(tblExpenses[[#This Row],[Date]],"mmm")</f>
        <v>Jul</v>
      </c>
    </row>
    <row r="213" spans="1:10" x14ac:dyDescent="0.35">
      <c r="A213" t="s">
        <v>239</v>
      </c>
      <c r="B213" s="2">
        <v>45855</v>
      </c>
      <c r="C213" t="s">
        <v>10</v>
      </c>
      <c r="D213" t="s">
        <v>20</v>
      </c>
      <c r="E213" s="3">
        <v>99421</v>
      </c>
      <c r="F213" t="s">
        <v>23</v>
      </c>
      <c r="G213" t="s">
        <v>13</v>
      </c>
      <c r="H213" s="3">
        <v>101821</v>
      </c>
      <c r="I213" s="3">
        <v>2400</v>
      </c>
      <c r="J213" t="str">
        <f>TEXT(tblExpenses[[#This Row],[Date]],"mmm")</f>
        <v>Jul</v>
      </c>
    </row>
    <row r="214" spans="1:10" x14ac:dyDescent="0.35">
      <c r="A214" t="s">
        <v>240</v>
      </c>
      <c r="B214" s="2">
        <v>45862</v>
      </c>
      <c r="C214" t="s">
        <v>15</v>
      </c>
      <c r="D214" t="s">
        <v>15</v>
      </c>
      <c r="E214" s="3">
        <v>47538</v>
      </c>
      <c r="F214" t="s">
        <v>29</v>
      </c>
      <c r="G214" t="s">
        <v>13</v>
      </c>
      <c r="H214" s="3">
        <v>48535</v>
      </c>
      <c r="I214" s="3">
        <v>997</v>
      </c>
      <c r="J214" t="str">
        <f>TEXT(tblExpenses[[#This Row],[Date]],"mmm")</f>
        <v>Jul</v>
      </c>
    </row>
    <row r="215" spans="1:10" x14ac:dyDescent="0.35">
      <c r="A215" t="s">
        <v>241</v>
      </c>
      <c r="B215" s="2">
        <v>45844</v>
      </c>
      <c r="C215" t="s">
        <v>15</v>
      </c>
      <c r="D215" t="s">
        <v>31</v>
      </c>
      <c r="E215" s="3">
        <v>2629</v>
      </c>
      <c r="F215" t="s">
        <v>16</v>
      </c>
      <c r="G215" t="s">
        <v>13</v>
      </c>
      <c r="H215" s="3">
        <v>3086</v>
      </c>
      <c r="I215" s="3">
        <v>457</v>
      </c>
      <c r="J215" t="str">
        <f>TEXT(tblExpenses[[#This Row],[Date]],"mmm")</f>
        <v>Jul</v>
      </c>
    </row>
    <row r="216" spans="1:10" x14ac:dyDescent="0.35">
      <c r="A216" t="s">
        <v>242</v>
      </c>
      <c r="B216" s="2">
        <v>45848</v>
      </c>
      <c r="C216" t="s">
        <v>15</v>
      </c>
      <c r="D216" t="s">
        <v>20</v>
      </c>
      <c r="E216" s="3">
        <v>68624</v>
      </c>
      <c r="F216" t="s">
        <v>12</v>
      </c>
      <c r="G216" t="s">
        <v>25</v>
      </c>
      <c r="H216" s="3">
        <v>99002</v>
      </c>
      <c r="I216" s="3">
        <v>30378</v>
      </c>
      <c r="J216" t="str">
        <f>TEXT(tblExpenses[[#This Row],[Date]],"mmm")</f>
        <v>Jul</v>
      </c>
    </row>
    <row r="217" spans="1:10" x14ac:dyDescent="0.35">
      <c r="A217" t="s">
        <v>243</v>
      </c>
      <c r="B217" s="2">
        <v>45856</v>
      </c>
      <c r="C217" t="s">
        <v>15</v>
      </c>
      <c r="D217" t="s">
        <v>61</v>
      </c>
      <c r="E217" s="3">
        <v>7620</v>
      </c>
      <c r="F217" t="s">
        <v>29</v>
      </c>
      <c r="G217" t="s">
        <v>13</v>
      </c>
      <c r="H217" s="3">
        <v>7986</v>
      </c>
      <c r="I217" s="3">
        <v>366</v>
      </c>
      <c r="J217" t="str">
        <f>TEXT(tblExpenses[[#This Row],[Date]],"mmm")</f>
        <v>Jul</v>
      </c>
    </row>
    <row r="218" spans="1:10" x14ac:dyDescent="0.35">
      <c r="A218" t="s">
        <v>244</v>
      </c>
      <c r="B218" s="2">
        <v>45865</v>
      </c>
      <c r="C218" t="s">
        <v>15</v>
      </c>
      <c r="D218" t="s">
        <v>18</v>
      </c>
      <c r="E218" s="3">
        <v>554</v>
      </c>
      <c r="F218" t="s">
        <v>16</v>
      </c>
      <c r="G218" t="s">
        <v>13</v>
      </c>
      <c r="H218" s="3">
        <v>689</v>
      </c>
      <c r="I218" s="3">
        <v>135</v>
      </c>
      <c r="J218" t="str">
        <f>TEXT(tblExpenses[[#This Row],[Date]],"mmm")</f>
        <v>Jul</v>
      </c>
    </row>
    <row r="219" spans="1:10" x14ac:dyDescent="0.35">
      <c r="A219" t="s">
        <v>245</v>
      </c>
      <c r="B219" s="2">
        <v>45843</v>
      </c>
      <c r="C219" t="s">
        <v>27</v>
      </c>
      <c r="D219" t="s">
        <v>22</v>
      </c>
      <c r="E219" s="3">
        <v>100956</v>
      </c>
      <c r="F219" t="s">
        <v>23</v>
      </c>
      <c r="G219" t="s">
        <v>13</v>
      </c>
      <c r="H219" s="3">
        <v>123410</v>
      </c>
      <c r="I219" s="3">
        <v>22454</v>
      </c>
      <c r="J219" t="str">
        <f>TEXT(tblExpenses[[#This Row],[Date]],"mmm")</f>
        <v>Jul</v>
      </c>
    </row>
    <row r="220" spans="1:10" x14ac:dyDescent="0.35">
      <c r="A220" t="s">
        <v>246</v>
      </c>
      <c r="B220" s="2">
        <v>45841</v>
      </c>
      <c r="C220" t="s">
        <v>27</v>
      </c>
      <c r="D220" t="s">
        <v>20</v>
      </c>
      <c r="E220" s="3">
        <v>123315</v>
      </c>
      <c r="F220" t="s">
        <v>29</v>
      </c>
      <c r="G220" t="s">
        <v>13</v>
      </c>
      <c r="H220" s="3">
        <v>153728</v>
      </c>
      <c r="I220" s="3">
        <v>30413</v>
      </c>
      <c r="J220" t="str">
        <f>TEXT(tblExpenses[[#This Row],[Date]],"mmm")</f>
        <v>Jul</v>
      </c>
    </row>
    <row r="221" spans="1:10" x14ac:dyDescent="0.35">
      <c r="A221" t="s">
        <v>247</v>
      </c>
      <c r="B221" s="2">
        <v>45849</v>
      </c>
      <c r="C221" t="s">
        <v>27</v>
      </c>
      <c r="D221" t="s">
        <v>11</v>
      </c>
      <c r="E221" s="3">
        <v>16577</v>
      </c>
      <c r="F221" t="s">
        <v>29</v>
      </c>
      <c r="G221" t="s">
        <v>25</v>
      </c>
      <c r="H221" s="3">
        <v>22606</v>
      </c>
      <c r="I221" s="3">
        <v>6029</v>
      </c>
      <c r="J221" t="str">
        <f>TEXT(tblExpenses[[#This Row],[Date]],"mmm")</f>
        <v>Jul</v>
      </c>
    </row>
    <row r="222" spans="1:10" x14ac:dyDescent="0.35">
      <c r="A222" t="s">
        <v>248</v>
      </c>
      <c r="B222" s="2">
        <v>45860</v>
      </c>
      <c r="C222" t="s">
        <v>27</v>
      </c>
      <c r="D222" t="s">
        <v>20</v>
      </c>
      <c r="E222" s="3">
        <v>175314</v>
      </c>
      <c r="F222" t="s">
        <v>16</v>
      </c>
      <c r="G222" t="s">
        <v>13</v>
      </c>
      <c r="H222" s="3">
        <v>239788</v>
      </c>
      <c r="I222" s="3">
        <v>64474</v>
      </c>
      <c r="J222" t="str">
        <f>TEXT(tblExpenses[[#This Row],[Date]],"mmm")</f>
        <v>Jul</v>
      </c>
    </row>
    <row r="223" spans="1:10" x14ac:dyDescent="0.35">
      <c r="A223" t="s">
        <v>249</v>
      </c>
      <c r="B223" s="2">
        <v>45849</v>
      </c>
      <c r="C223" t="s">
        <v>27</v>
      </c>
      <c r="D223" t="s">
        <v>11</v>
      </c>
      <c r="E223" s="3">
        <v>48209</v>
      </c>
      <c r="F223" t="s">
        <v>29</v>
      </c>
      <c r="G223" t="s">
        <v>25</v>
      </c>
      <c r="H223" s="3">
        <v>67353</v>
      </c>
      <c r="I223" s="3">
        <v>19144</v>
      </c>
      <c r="J223" t="str">
        <f>TEXT(tblExpenses[[#This Row],[Date]],"mmm")</f>
        <v>Jul</v>
      </c>
    </row>
    <row r="224" spans="1:10" x14ac:dyDescent="0.35">
      <c r="A224" t="s">
        <v>250</v>
      </c>
      <c r="B224" s="2">
        <v>45851</v>
      </c>
      <c r="C224" t="s">
        <v>27</v>
      </c>
      <c r="D224" t="s">
        <v>33</v>
      </c>
      <c r="E224" s="3">
        <v>37232</v>
      </c>
      <c r="F224" t="s">
        <v>29</v>
      </c>
      <c r="G224" t="s">
        <v>13</v>
      </c>
      <c r="H224" s="3">
        <v>39780</v>
      </c>
      <c r="I224" s="3">
        <v>2548</v>
      </c>
      <c r="J224" t="str">
        <f>TEXT(tblExpenses[[#This Row],[Date]],"mmm")</f>
        <v>Jul</v>
      </c>
    </row>
    <row r="225" spans="1:10" x14ac:dyDescent="0.35">
      <c r="A225" t="s">
        <v>251</v>
      </c>
      <c r="B225" s="2">
        <v>45862</v>
      </c>
      <c r="C225" t="s">
        <v>27</v>
      </c>
      <c r="D225" t="s">
        <v>15</v>
      </c>
      <c r="E225" s="3">
        <v>137010</v>
      </c>
      <c r="F225" t="s">
        <v>23</v>
      </c>
      <c r="G225" t="s">
        <v>13</v>
      </c>
      <c r="H225" s="3">
        <v>192764</v>
      </c>
      <c r="I225" s="3">
        <v>55754</v>
      </c>
      <c r="J225" t="str">
        <f>TEXT(tblExpenses[[#This Row],[Date]],"mmm")</f>
        <v>Jul</v>
      </c>
    </row>
    <row r="226" spans="1:10" x14ac:dyDescent="0.35">
      <c r="A226" t="s">
        <v>252</v>
      </c>
      <c r="B226" s="2">
        <v>45862</v>
      </c>
      <c r="C226" t="s">
        <v>38</v>
      </c>
      <c r="D226" t="s">
        <v>11</v>
      </c>
      <c r="E226" s="3">
        <v>35836</v>
      </c>
      <c r="F226" t="s">
        <v>29</v>
      </c>
      <c r="G226" t="s">
        <v>13</v>
      </c>
      <c r="H226" s="3">
        <v>51195</v>
      </c>
      <c r="I226" s="3">
        <v>15359</v>
      </c>
      <c r="J226" t="str">
        <f>TEXT(tblExpenses[[#This Row],[Date]],"mmm")</f>
        <v>Jul</v>
      </c>
    </row>
    <row r="227" spans="1:10" x14ac:dyDescent="0.35">
      <c r="A227" t="s">
        <v>253</v>
      </c>
      <c r="B227" s="2">
        <v>45861</v>
      </c>
      <c r="C227" t="s">
        <v>38</v>
      </c>
      <c r="D227" t="s">
        <v>20</v>
      </c>
      <c r="E227" s="3">
        <v>156207</v>
      </c>
      <c r="F227" t="s">
        <v>29</v>
      </c>
      <c r="G227" t="s">
        <v>13</v>
      </c>
      <c r="H227" s="3">
        <v>203945</v>
      </c>
      <c r="I227" s="3">
        <v>47738</v>
      </c>
      <c r="J227" t="str">
        <f>TEXT(tblExpenses[[#This Row],[Date]],"mmm")</f>
        <v>Jul</v>
      </c>
    </row>
    <row r="228" spans="1:10" x14ac:dyDescent="0.35">
      <c r="A228" t="s">
        <v>254</v>
      </c>
      <c r="B228" s="2">
        <v>45859</v>
      </c>
      <c r="C228" t="s">
        <v>38</v>
      </c>
      <c r="D228" t="s">
        <v>22</v>
      </c>
      <c r="E228" s="3">
        <v>87709</v>
      </c>
      <c r="F228" t="s">
        <v>12</v>
      </c>
      <c r="G228" t="s">
        <v>13</v>
      </c>
      <c r="H228" s="3">
        <v>113316</v>
      </c>
      <c r="I228" s="3">
        <v>25607</v>
      </c>
      <c r="J228" t="str">
        <f>TEXT(tblExpenses[[#This Row],[Date]],"mmm")</f>
        <v>Jul</v>
      </c>
    </row>
    <row r="229" spans="1:10" x14ac:dyDescent="0.35">
      <c r="A229" t="s">
        <v>255</v>
      </c>
      <c r="B229" s="2">
        <v>45848</v>
      </c>
      <c r="C229" t="s">
        <v>38</v>
      </c>
      <c r="D229" t="s">
        <v>15</v>
      </c>
      <c r="E229" s="3">
        <v>88669</v>
      </c>
      <c r="F229" t="s">
        <v>23</v>
      </c>
      <c r="G229" t="s">
        <v>13</v>
      </c>
      <c r="H229" s="3">
        <v>125941</v>
      </c>
      <c r="I229" s="3">
        <v>37272</v>
      </c>
      <c r="J229" t="str">
        <f>TEXT(tblExpenses[[#This Row],[Date]],"mmm")</f>
        <v>Jul</v>
      </c>
    </row>
    <row r="230" spans="1:10" x14ac:dyDescent="0.35">
      <c r="A230" t="s">
        <v>256</v>
      </c>
      <c r="B230" s="2">
        <v>45842</v>
      </c>
      <c r="C230" t="s">
        <v>38</v>
      </c>
      <c r="D230" t="s">
        <v>31</v>
      </c>
      <c r="E230" s="3">
        <v>9903</v>
      </c>
      <c r="F230" t="s">
        <v>29</v>
      </c>
      <c r="G230" t="s">
        <v>13</v>
      </c>
      <c r="H230" s="3">
        <v>12284</v>
      </c>
      <c r="I230" s="3">
        <v>2381</v>
      </c>
      <c r="J230" t="str">
        <f>TEXT(tblExpenses[[#This Row],[Date]],"mmm")</f>
        <v>Jul</v>
      </c>
    </row>
    <row r="231" spans="1:10" x14ac:dyDescent="0.35">
      <c r="A231" t="s">
        <v>257</v>
      </c>
      <c r="B231" s="2">
        <v>45852</v>
      </c>
      <c r="C231" t="s">
        <v>38</v>
      </c>
      <c r="D231" t="s">
        <v>20</v>
      </c>
      <c r="E231" s="3">
        <v>95300</v>
      </c>
      <c r="F231" t="s">
        <v>16</v>
      </c>
      <c r="G231" t="s">
        <v>13</v>
      </c>
      <c r="H231" s="3">
        <v>107088</v>
      </c>
      <c r="I231" s="3">
        <v>11788</v>
      </c>
      <c r="J231" t="str">
        <f>TEXT(tblExpenses[[#This Row],[Date]],"mmm")</f>
        <v>Jul</v>
      </c>
    </row>
    <row r="232" spans="1:10" x14ac:dyDescent="0.35">
      <c r="A232" t="s">
        <v>258</v>
      </c>
      <c r="B232" s="2">
        <v>45861</v>
      </c>
      <c r="C232" t="s">
        <v>38</v>
      </c>
      <c r="D232" t="s">
        <v>11</v>
      </c>
      <c r="E232" s="3">
        <v>24778</v>
      </c>
      <c r="F232" t="s">
        <v>29</v>
      </c>
      <c r="G232" t="s">
        <v>13</v>
      </c>
      <c r="H232" s="3">
        <v>33413</v>
      </c>
      <c r="I232" s="3">
        <v>8635</v>
      </c>
      <c r="J232" t="str">
        <f>TEXT(tblExpenses[[#This Row],[Date]],"mmm")</f>
        <v>Jul</v>
      </c>
    </row>
    <row r="233" spans="1:10" x14ac:dyDescent="0.35">
      <c r="A233" t="s">
        <v>259</v>
      </c>
      <c r="B233" s="2">
        <v>45848</v>
      </c>
      <c r="C233" t="s">
        <v>38</v>
      </c>
      <c r="D233" t="s">
        <v>22</v>
      </c>
      <c r="E233" s="3">
        <v>95075</v>
      </c>
      <c r="F233" t="s">
        <v>12</v>
      </c>
      <c r="G233" t="s">
        <v>25</v>
      </c>
      <c r="H233" s="3">
        <v>106240</v>
      </c>
      <c r="I233" s="3">
        <v>11165</v>
      </c>
      <c r="J233" t="str">
        <f>TEXT(tblExpenses[[#This Row],[Date]],"mmm")</f>
        <v>Jul</v>
      </c>
    </row>
    <row r="234" spans="1:10" x14ac:dyDescent="0.35">
      <c r="A234" t="s">
        <v>260</v>
      </c>
      <c r="B234" s="2">
        <v>45852</v>
      </c>
      <c r="C234" t="s">
        <v>45</v>
      </c>
      <c r="D234" t="s">
        <v>31</v>
      </c>
      <c r="E234" s="3">
        <v>5286</v>
      </c>
      <c r="F234" t="s">
        <v>23</v>
      </c>
      <c r="G234" t="s">
        <v>13</v>
      </c>
      <c r="H234" s="3">
        <v>7070</v>
      </c>
      <c r="I234" s="3">
        <v>1784</v>
      </c>
      <c r="J234" t="str">
        <f>TEXT(tblExpenses[[#This Row],[Date]],"mmm")</f>
        <v>Jul</v>
      </c>
    </row>
    <row r="235" spans="1:10" x14ac:dyDescent="0.35">
      <c r="A235" t="s">
        <v>261</v>
      </c>
      <c r="B235" s="2">
        <v>45862</v>
      </c>
      <c r="C235" t="s">
        <v>45</v>
      </c>
      <c r="D235" t="s">
        <v>61</v>
      </c>
      <c r="E235" s="3">
        <v>4790</v>
      </c>
      <c r="F235" t="s">
        <v>29</v>
      </c>
      <c r="G235" t="s">
        <v>13</v>
      </c>
      <c r="H235" s="3">
        <v>5433</v>
      </c>
      <c r="I235" s="3">
        <v>643</v>
      </c>
      <c r="J235" t="str">
        <f>TEXT(tblExpenses[[#This Row],[Date]],"mmm")</f>
        <v>Jul</v>
      </c>
    </row>
    <row r="236" spans="1:10" x14ac:dyDescent="0.35">
      <c r="A236" t="s">
        <v>262</v>
      </c>
      <c r="B236" s="2">
        <v>45844</v>
      </c>
      <c r="C236" t="s">
        <v>45</v>
      </c>
      <c r="D236" t="s">
        <v>20</v>
      </c>
      <c r="E236" s="3">
        <v>117429</v>
      </c>
      <c r="F236" t="s">
        <v>29</v>
      </c>
      <c r="G236" t="s">
        <v>13</v>
      </c>
      <c r="H236" s="3">
        <v>130423</v>
      </c>
      <c r="I236" s="3">
        <v>12994</v>
      </c>
      <c r="J236" t="str">
        <f>TEXT(tblExpenses[[#This Row],[Date]],"mmm")</f>
        <v>Jul</v>
      </c>
    </row>
    <row r="237" spans="1:10" x14ac:dyDescent="0.35">
      <c r="A237" t="s">
        <v>263</v>
      </c>
      <c r="B237" s="2">
        <v>45839</v>
      </c>
      <c r="C237" t="s">
        <v>54</v>
      </c>
      <c r="D237" t="s">
        <v>15</v>
      </c>
      <c r="E237" s="3">
        <v>15221</v>
      </c>
      <c r="F237" t="s">
        <v>23</v>
      </c>
      <c r="G237" t="s">
        <v>13</v>
      </c>
      <c r="H237" s="3">
        <v>22453</v>
      </c>
      <c r="I237" s="3">
        <v>7232</v>
      </c>
      <c r="J237" t="str">
        <f>TEXT(tblExpenses[[#This Row],[Date]],"mmm")</f>
        <v>Jul</v>
      </c>
    </row>
    <row r="238" spans="1:10" x14ac:dyDescent="0.35">
      <c r="A238" t="s">
        <v>264</v>
      </c>
      <c r="B238" s="2">
        <v>45845</v>
      </c>
      <c r="C238" t="s">
        <v>54</v>
      </c>
      <c r="D238" t="s">
        <v>11</v>
      </c>
      <c r="E238" s="3">
        <v>44921</v>
      </c>
      <c r="F238" t="s">
        <v>12</v>
      </c>
      <c r="G238" t="s">
        <v>25</v>
      </c>
      <c r="H238" s="3">
        <v>46026</v>
      </c>
      <c r="I238" s="3">
        <v>1105</v>
      </c>
      <c r="J238" t="str">
        <f>TEXT(tblExpenses[[#This Row],[Date]],"mmm")</f>
        <v>Jul</v>
      </c>
    </row>
    <row r="239" spans="1:10" x14ac:dyDescent="0.35">
      <c r="A239" t="s">
        <v>265</v>
      </c>
      <c r="B239" s="2">
        <v>45848</v>
      </c>
      <c r="C239" t="s">
        <v>54</v>
      </c>
      <c r="D239" t="s">
        <v>22</v>
      </c>
      <c r="E239" s="3">
        <v>117685</v>
      </c>
      <c r="F239" t="s">
        <v>29</v>
      </c>
      <c r="G239" t="s">
        <v>13</v>
      </c>
      <c r="H239" s="3">
        <v>159923</v>
      </c>
      <c r="I239" s="3">
        <v>42238</v>
      </c>
      <c r="J239" t="str">
        <f>TEXT(tblExpenses[[#This Row],[Date]],"mmm")</f>
        <v>Jul</v>
      </c>
    </row>
    <row r="240" spans="1:10" x14ac:dyDescent="0.35">
      <c r="A240" t="s">
        <v>266</v>
      </c>
      <c r="B240" s="2">
        <v>45839</v>
      </c>
      <c r="C240" t="s">
        <v>54</v>
      </c>
      <c r="D240" t="s">
        <v>18</v>
      </c>
      <c r="E240" s="3">
        <v>5029</v>
      </c>
      <c r="F240" t="s">
        <v>16</v>
      </c>
      <c r="G240" t="s">
        <v>13</v>
      </c>
      <c r="H240" s="3">
        <v>6873</v>
      </c>
      <c r="I240" s="3">
        <v>1844</v>
      </c>
      <c r="J240" t="str">
        <f>TEXT(tblExpenses[[#This Row],[Date]],"mmm")</f>
        <v>Jul</v>
      </c>
    </row>
    <row r="241" spans="1:10" x14ac:dyDescent="0.35">
      <c r="A241" t="s">
        <v>267</v>
      </c>
      <c r="B241" s="2">
        <v>45844</v>
      </c>
      <c r="C241" t="s">
        <v>54</v>
      </c>
      <c r="D241" t="s">
        <v>22</v>
      </c>
      <c r="E241" s="3">
        <v>108722</v>
      </c>
      <c r="F241" t="s">
        <v>12</v>
      </c>
      <c r="G241" t="s">
        <v>13</v>
      </c>
      <c r="H241" s="3">
        <v>135082</v>
      </c>
      <c r="I241" s="3">
        <v>26360</v>
      </c>
      <c r="J241" t="str">
        <f>TEXT(tblExpenses[[#This Row],[Date]],"mmm")</f>
        <v>Jul</v>
      </c>
    </row>
    <row r="242" spans="1:10" x14ac:dyDescent="0.35">
      <c r="A242" t="s">
        <v>268</v>
      </c>
      <c r="B242" s="2">
        <v>45873</v>
      </c>
      <c r="C242" t="s">
        <v>10</v>
      </c>
      <c r="D242" t="s">
        <v>18</v>
      </c>
      <c r="E242" s="3">
        <v>776</v>
      </c>
      <c r="F242" t="s">
        <v>23</v>
      </c>
      <c r="G242" t="s">
        <v>13</v>
      </c>
      <c r="H242" s="3">
        <v>882</v>
      </c>
      <c r="I242" s="3">
        <v>106</v>
      </c>
      <c r="J242" t="str">
        <f>TEXT(tblExpenses[[#This Row],[Date]],"mmm")</f>
        <v>Aug</v>
      </c>
    </row>
    <row r="243" spans="1:10" x14ac:dyDescent="0.35">
      <c r="A243" t="s">
        <v>269</v>
      </c>
      <c r="B243" s="2">
        <v>45893</v>
      </c>
      <c r="C243" t="s">
        <v>10</v>
      </c>
      <c r="D243" t="s">
        <v>11</v>
      </c>
      <c r="E243" s="3">
        <v>7015</v>
      </c>
      <c r="F243" t="s">
        <v>23</v>
      </c>
      <c r="G243" t="s">
        <v>13</v>
      </c>
      <c r="H243" s="3">
        <v>7274</v>
      </c>
      <c r="I243" s="3">
        <v>259</v>
      </c>
      <c r="J243" t="str">
        <f>TEXT(tblExpenses[[#This Row],[Date]],"mmm")</f>
        <v>Aug</v>
      </c>
    </row>
    <row r="244" spans="1:10" x14ac:dyDescent="0.35">
      <c r="A244" t="s">
        <v>270</v>
      </c>
      <c r="B244" s="2">
        <v>45895</v>
      </c>
      <c r="C244" t="s">
        <v>10</v>
      </c>
      <c r="D244" t="s">
        <v>15</v>
      </c>
      <c r="E244" s="3">
        <v>35049</v>
      </c>
      <c r="F244" t="s">
        <v>23</v>
      </c>
      <c r="G244" t="s">
        <v>13</v>
      </c>
      <c r="H244" s="3">
        <v>47945</v>
      </c>
      <c r="I244" s="3">
        <v>12896</v>
      </c>
      <c r="J244" t="str">
        <f>TEXT(tblExpenses[[#This Row],[Date]],"mmm")</f>
        <v>Aug</v>
      </c>
    </row>
    <row r="245" spans="1:10" x14ac:dyDescent="0.35">
      <c r="A245" t="s">
        <v>271</v>
      </c>
      <c r="B245" s="2">
        <v>45870</v>
      </c>
      <c r="C245" t="s">
        <v>10</v>
      </c>
      <c r="D245" t="s">
        <v>31</v>
      </c>
      <c r="E245" s="3">
        <v>7965</v>
      </c>
      <c r="F245" t="s">
        <v>12</v>
      </c>
      <c r="G245" t="s">
        <v>13</v>
      </c>
      <c r="H245" s="3">
        <v>10005</v>
      </c>
      <c r="I245" s="3">
        <v>2040</v>
      </c>
      <c r="J245" t="str">
        <f>TEXT(tblExpenses[[#This Row],[Date]],"mmm")</f>
        <v>Aug</v>
      </c>
    </row>
    <row r="246" spans="1:10" x14ac:dyDescent="0.35">
      <c r="A246" t="s">
        <v>272</v>
      </c>
      <c r="B246" s="2">
        <v>45888</v>
      </c>
      <c r="C246" t="s">
        <v>10</v>
      </c>
      <c r="D246" t="s">
        <v>11</v>
      </c>
      <c r="E246" s="3">
        <v>19319</v>
      </c>
      <c r="F246" t="s">
        <v>23</v>
      </c>
      <c r="G246" t="s">
        <v>13</v>
      </c>
      <c r="H246" s="3">
        <v>28682</v>
      </c>
      <c r="I246" s="3">
        <v>9363</v>
      </c>
      <c r="J246" t="str">
        <f>TEXT(tblExpenses[[#This Row],[Date]],"mmm")</f>
        <v>Aug</v>
      </c>
    </row>
    <row r="247" spans="1:10" x14ac:dyDescent="0.35">
      <c r="A247" t="s">
        <v>273</v>
      </c>
      <c r="B247" s="2">
        <v>45887</v>
      </c>
      <c r="C247" t="s">
        <v>10</v>
      </c>
      <c r="D247" t="s">
        <v>11</v>
      </c>
      <c r="E247" s="3">
        <v>16565</v>
      </c>
      <c r="F247" t="s">
        <v>12</v>
      </c>
      <c r="G247" t="s">
        <v>13</v>
      </c>
      <c r="H247" s="3">
        <v>24573</v>
      </c>
      <c r="I247" s="3">
        <v>8008</v>
      </c>
      <c r="J247" t="str">
        <f>TEXT(tblExpenses[[#This Row],[Date]],"mmm")</f>
        <v>Aug</v>
      </c>
    </row>
    <row r="248" spans="1:10" x14ac:dyDescent="0.35">
      <c r="A248" t="s">
        <v>274</v>
      </c>
      <c r="B248" s="2">
        <v>45885</v>
      </c>
      <c r="C248" t="s">
        <v>10</v>
      </c>
      <c r="D248" t="s">
        <v>18</v>
      </c>
      <c r="E248" s="3">
        <v>3632</v>
      </c>
      <c r="F248" t="s">
        <v>23</v>
      </c>
      <c r="G248" t="s">
        <v>13</v>
      </c>
      <c r="H248" s="3">
        <v>3663</v>
      </c>
      <c r="I248" s="3">
        <v>31</v>
      </c>
      <c r="J248" t="str">
        <f>TEXT(tblExpenses[[#This Row],[Date]],"mmm")</f>
        <v>Aug</v>
      </c>
    </row>
    <row r="249" spans="1:10" x14ac:dyDescent="0.35">
      <c r="A249" t="s">
        <v>275</v>
      </c>
      <c r="B249" s="2">
        <v>45870</v>
      </c>
      <c r="C249" t="s">
        <v>10</v>
      </c>
      <c r="D249" t="s">
        <v>20</v>
      </c>
      <c r="E249" s="3">
        <v>68736</v>
      </c>
      <c r="F249" t="s">
        <v>23</v>
      </c>
      <c r="G249" t="s">
        <v>13</v>
      </c>
      <c r="H249" s="3">
        <v>88597</v>
      </c>
      <c r="I249" s="3">
        <v>19861</v>
      </c>
      <c r="J249" t="str">
        <f>TEXT(tblExpenses[[#This Row],[Date]],"mmm")</f>
        <v>Aug</v>
      </c>
    </row>
    <row r="250" spans="1:10" x14ac:dyDescent="0.35">
      <c r="A250" t="s">
        <v>276</v>
      </c>
      <c r="B250" s="2">
        <v>45874</v>
      </c>
      <c r="C250" t="s">
        <v>15</v>
      </c>
      <c r="D250" t="s">
        <v>11</v>
      </c>
      <c r="E250" s="3">
        <v>44127</v>
      </c>
      <c r="F250" t="s">
        <v>16</v>
      </c>
      <c r="G250" t="s">
        <v>13</v>
      </c>
      <c r="H250" s="3">
        <v>50980</v>
      </c>
      <c r="I250" s="3">
        <v>6853</v>
      </c>
      <c r="J250" t="str">
        <f>TEXT(tblExpenses[[#This Row],[Date]],"mmm")</f>
        <v>Aug</v>
      </c>
    </row>
    <row r="251" spans="1:10" x14ac:dyDescent="0.35">
      <c r="A251" t="s">
        <v>277</v>
      </c>
      <c r="B251" s="2">
        <v>45888</v>
      </c>
      <c r="C251" t="s">
        <v>15</v>
      </c>
      <c r="D251" t="s">
        <v>18</v>
      </c>
      <c r="E251" s="3">
        <v>7584</v>
      </c>
      <c r="F251" t="s">
        <v>29</v>
      </c>
      <c r="G251" t="s">
        <v>13</v>
      </c>
      <c r="H251" s="3">
        <v>11156</v>
      </c>
      <c r="I251" s="3">
        <v>3572</v>
      </c>
      <c r="J251" t="str">
        <f>TEXT(tblExpenses[[#This Row],[Date]],"mmm")</f>
        <v>Aug</v>
      </c>
    </row>
    <row r="252" spans="1:10" x14ac:dyDescent="0.35">
      <c r="A252" t="s">
        <v>278</v>
      </c>
      <c r="B252" s="2">
        <v>45888</v>
      </c>
      <c r="C252" t="s">
        <v>15</v>
      </c>
      <c r="D252" t="s">
        <v>20</v>
      </c>
      <c r="E252" s="3">
        <v>147207</v>
      </c>
      <c r="F252" t="s">
        <v>29</v>
      </c>
      <c r="G252" t="s">
        <v>13</v>
      </c>
      <c r="H252" s="3">
        <v>200425</v>
      </c>
      <c r="I252" s="3">
        <v>53218</v>
      </c>
      <c r="J252" t="str">
        <f>TEXT(tblExpenses[[#This Row],[Date]],"mmm")</f>
        <v>Aug</v>
      </c>
    </row>
    <row r="253" spans="1:10" x14ac:dyDescent="0.35">
      <c r="A253" t="s">
        <v>279</v>
      </c>
      <c r="B253" s="2">
        <v>45896</v>
      </c>
      <c r="C253" t="s">
        <v>15</v>
      </c>
      <c r="D253" t="s">
        <v>22</v>
      </c>
      <c r="E253" s="3">
        <v>45823</v>
      </c>
      <c r="F253" t="s">
        <v>29</v>
      </c>
      <c r="G253" t="s">
        <v>13</v>
      </c>
      <c r="H253" s="3">
        <v>62789</v>
      </c>
      <c r="I253" s="3">
        <v>16966</v>
      </c>
      <c r="J253" t="str">
        <f>TEXT(tblExpenses[[#This Row],[Date]],"mmm")</f>
        <v>Aug</v>
      </c>
    </row>
    <row r="254" spans="1:10" x14ac:dyDescent="0.35">
      <c r="A254" t="s">
        <v>280</v>
      </c>
      <c r="B254" s="2">
        <v>45892</v>
      </c>
      <c r="C254" t="s">
        <v>15</v>
      </c>
      <c r="D254" t="s">
        <v>22</v>
      </c>
      <c r="E254" s="3">
        <v>119219</v>
      </c>
      <c r="F254" t="s">
        <v>29</v>
      </c>
      <c r="G254" t="s">
        <v>25</v>
      </c>
      <c r="H254" s="3">
        <v>119551</v>
      </c>
      <c r="I254" s="3">
        <v>332</v>
      </c>
      <c r="J254" t="str">
        <f>TEXT(tblExpenses[[#This Row],[Date]],"mmm")</f>
        <v>Aug</v>
      </c>
    </row>
    <row r="255" spans="1:10" x14ac:dyDescent="0.35">
      <c r="A255" t="s">
        <v>281</v>
      </c>
      <c r="B255" s="2">
        <v>45877</v>
      </c>
      <c r="C255" t="s">
        <v>15</v>
      </c>
      <c r="D255" t="s">
        <v>20</v>
      </c>
      <c r="E255" s="3">
        <v>92055</v>
      </c>
      <c r="F255" t="s">
        <v>12</v>
      </c>
      <c r="G255" t="s">
        <v>13</v>
      </c>
      <c r="H255" s="3">
        <v>136217</v>
      </c>
      <c r="I255" s="3">
        <v>44162</v>
      </c>
      <c r="J255" t="str">
        <f>TEXT(tblExpenses[[#This Row],[Date]],"mmm")</f>
        <v>Aug</v>
      </c>
    </row>
    <row r="256" spans="1:10" x14ac:dyDescent="0.35">
      <c r="A256" t="s">
        <v>282</v>
      </c>
      <c r="B256" s="2">
        <v>45872</v>
      </c>
      <c r="C256" t="s">
        <v>27</v>
      </c>
      <c r="D256" t="s">
        <v>11</v>
      </c>
      <c r="E256" s="3">
        <v>8884</v>
      </c>
      <c r="F256" t="s">
        <v>23</v>
      </c>
      <c r="G256" t="s">
        <v>13</v>
      </c>
      <c r="H256" s="3">
        <v>10775</v>
      </c>
      <c r="I256" s="3">
        <v>1891</v>
      </c>
      <c r="J256" t="str">
        <f>TEXT(tblExpenses[[#This Row],[Date]],"mmm")</f>
        <v>Aug</v>
      </c>
    </row>
    <row r="257" spans="1:10" x14ac:dyDescent="0.35">
      <c r="A257" t="s">
        <v>283</v>
      </c>
      <c r="B257" s="2">
        <v>45897</v>
      </c>
      <c r="C257" t="s">
        <v>27</v>
      </c>
      <c r="D257" t="s">
        <v>11</v>
      </c>
      <c r="E257" s="3">
        <v>12891</v>
      </c>
      <c r="F257" t="s">
        <v>16</v>
      </c>
      <c r="G257" t="s">
        <v>13</v>
      </c>
      <c r="H257" s="3">
        <v>14163</v>
      </c>
      <c r="I257" s="3">
        <v>1272</v>
      </c>
      <c r="J257" t="str">
        <f>TEXT(tblExpenses[[#This Row],[Date]],"mmm")</f>
        <v>Aug</v>
      </c>
    </row>
    <row r="258" spans="1:10" x14ac:dyDescent="0.35">
      <c r="A258" t="s">
        <v>284</v>
      </c>
      <c r="B258" s="2">
        <v>45893</v>
      </c>
      <c r="C258" t="s">
        <v>27</v>
      </c>
      <c r="D258" t="s">
        <v>15</v>
      </c>
      <c r="E258" s="3">
        <v>147517</v>
      </c>
      <c r="F258" t="s">
        <v>23</v>
      </c>
      <c r="G258" t="s">
        <v>13</v>
      </c>
      <c r="H258" s="3">
        <v>183452</v>
      </c>
      <c r="I258" s="3">
        <v>35935</v>
      </c>
      <c r="J258" t="str">
        <f>TEXT(tblExpenses[[#This Row],[Date]],"mmm")</f>
        <v>Aug</v>
      </c>
    </row>
    <row r="259" spans="1:10" x14ac:dyDescent="0.35">
      <c r="A259" t="s">
        <v>285</v>
      </c>
      <c r="B259" s="2">
        <v>45893</v>
      </c>
      <c r="C259" t="s">
        <v>27</v>
      </c>
      <c r="D259" t="s">
        <v>11</v>
      </c>
      <c r="E259" s="3">
        <v>30539</v>
      </c>
      <c r="F259" t="s">
        <v>12</v>
      </c>
      <c r="G259" t="s">
        <v>25</v>
      </c>
      <c r="H259" s="3">
        <v>45744</v>
      </c>
      <c r="I259" s="3">
        <v>15205</v>
      </c>
      <c r="J259" t="str">
        <f>TEXT(tblExpenses[[#This Row],[Date]],"mmm")</f>
        <v>Aug</v>
      </c>
    </row>
    <row r="260" spans="1:10" x14ac:dyDescent="0.35">
      <c r="A260" t="s">
        <v>286</v>
      </c>
      <c r="B260" s="2">
        <v>45874</v>
      </c>
      <c r="C260" t="s">
        <v>27</v>
      </c>
      <c r="D260" t="s">
        <v>31</v>
      </c>
      <c r="E260" s="3">
        <v>10237</v>
      </c>
      <c r="F260" t="s">
        <v>12</v>
      </c>
      <c r="G260" t="s">
        <v>25</v>
      </c>
      <c r="H260" s="3">
        <v>13565</v>
      </c>
      <c r="I260" s="3">
        <v>3328</v>
      </c>
      <c r="J260" t="str">
        <f>TEXT(tblExpenses[[#This Row],[Date]],"mmm")</f>
        <v>Aug</v>
      </c>
    </row>
    <row r="261" spans="1:10" x14ac:dyDescent="0.35">
      <c r="A261" t="s">
        <v>287</v>
      </c>
      <c r="B261" s="2">
        <v>45885</v>
      </c>
      <c r="C261" t="s">
        <v>27</v>
      </c>
      <c r="D261" t="s">
        <v>31</v>
      </c>
      <c r="E261" s="3">
        <v>9509</v>
      </c>
      <c r="F261" t="s">
        <v>23</v>
      </c>
      <c r="G261" t="s">
        <v>13</v>
      </c>
      <c r="H261" s="3">
        <v>12383</v>
      </c>
      <c r="I261" s="3">
        <v>2874</v>
      </c>
      <c r="J261" t="str">
        <f>TEXT(tblExpenses[[#This Row],[Date]],"mmm")</f>
        <v>Aug</v>
      </c>
    </row>
    <row r="262" spans="1:10" x14ac:dyDescent="0.35">
      <c r="A262" t="s">
        <v>288</v>
      </c>
      <c r="B262" s="2">
        <v>45885</v>
      </c>
      <c r="C262" t="s">
        <v>27</v>
      </c>
      <c r="D262" t="s">
        <v>15</v>
      </c>
      <c r="E262" s="3">
        <v>147462</v>
      </c>
      <c r="F262" t="s">
        <v>16</v>
      </c>
      <c r="G262" t="s">
        <v>13</v>
      </c>
      <c r="H262" s="3">
        <v>200186</v>
      </c>
      <c r="I262" s="3">
        <v>52724</v>
      </c>
      <c r="J262" t="str">
        <f>TEXT(tblExpenses[[#This Row],[Date]],"mmm")</f>
        <v>Aug</v>
      </c>
    </row>
    <row r="263" spans="1:10" x14ac:dyDescent="0.35">
      <c r="A263" t="s">
        <v>289</v>
      </c>
      <c r="B263" s="2">
        <v>45870</v>
      </c>
      <c r="C263" t="s">
        <v>38</v>
      </c>
      <c r="D263" t="s">
        <v>20</v>
      </c>
      <c r="E263" s="3">
        <v>27576</v>
      </c>
      <c r="F263" t="s">
        <v>12</v>
      </c>
      <c r="G263" t="s">
        <v>13</v>
      </c>
      <c r="H263" s="3">
        <v>41272</v>
      </c>
      <c r="I263" s="3">
        <v>13696</v>
      </c>
      <c r="J263" t="str">
        <f>TEXT(tblExpenses[[#This Row],[Date]],"mmm")</f>
        <v>Aug</v>
      </c>
    </row>
    <row r="264" spans="1:10" x14ac:dyDescent="0.35">
      <c r="A264" t="s">
        <v>290</v>
      </c>
      <c r="B264" s="2">
        <v>45889</v>
      </c>
      <c r="C264" t="s">
        <v>38</v>
      </c>
      <c r="D264" t="s">
        <v>20</v>
      </c>
      <c r="E264" s="3">
        <v>96778</v>
      </c>
      <c r="F264" t="s">
        <v>23</v>
      </c>
      <c r="G264" t="s">
        <v>25</v>
      </c>
      <c r="H264" s="3">
        <v>101361</v>
      </c>
      <c r="I264" s="3">
        <v>4583</v>
      </c>
      <c r="J264" t="str">
        <f>TEXT(tblExpenses[[#This Row],[Date]],"mmm")</f>
        <v>Aug</v>
      </c>
    </row>
    <row r="265" spans="1:10" x14ac:dyDescent="0.35">
      <c r="A265" t="s">
        <v>291</v>
      </c>
      <c r="B265" s="2">
        <v>45877</v>
      </c>
      <c r="C265" t="s">
        <v>38</v>
      </c>
      <c r="D265" t="s">
        <v>31</v>
      </c>
      <c r="E265" s="3">
        <v>11425</v>
      </c>
      <c r="F265" t="s">
        <v>12</v>
      </c>
      <c r="G265" t="s">
        <v>13</v>
      </c>
      <c r="H265" s="3">
        <v>14619</v>
      </c>
      <c r="I265" s="3">
        <v>3194</v>
      </c>
      <c r="J265" t="str">
        <f>TEXT(tblExpenses[[#This Row],[Date]],"mmm")</f>
        <v>Aug</v>
      </c>
    </row>
    <row r="266" spans="1:10" x14ac:dyDescent="0.35">
      <c r="A266" t="s">
        <v>292</v>
      </c>
      <c r="B266" s="2">
        <v>45883</v>
      </c>
      <c r="C266" t="s">
        <v>38</v>
      </c>
      <c r="D266" t="s">
        <v>61</v>
      </c>
      <c r="E266" s="3">
        <v>29894</v>
      </c>
      <c r="F266" t="s">
        <v>12</v>
      </c>
      <c r="G266" t="s">
        <v>13</v>
      </c>
      <c r="H266" s="3">
        <v>43518</v>
      </c>
      <c r="I266" s="3">
        <v>13624</v>
      </c>
      <c r="J266" t="str">
        <f>TEXT(tblExpenses[[#This Row],[Date]],"mmm")</f>
        <v>Aug</v>
      </c>
    </row>
    <row r="267" spans="1:10" x14ac:dyDescent="0.35">
      <c r="A267" t="s">
        <v>293</v>
      </c>
      <c r="B267" s="2">
        <v>45873</v>
      </c>
      <c r="C267" t="s">
        <v>45</v>
      </c>
      <c r="D267" t="s">
        <v>18</v>
      </c>
      <c r="E267" s="3">
        <v>1134</v>
      </c>
      <c r="F267" t="s">
        <v>29</v>
      </c>
      <c r="G267" t="s">
        <v>13</v>
      </c>
      <c r="H267" s="3">
        <v>1470</v>
      </c>
      <c r="I267" s="3">
        <v>336</v>
      </c>
      <c r="J267" t="str">
        <f>TEXT(tblExpenses[[#This Row],[Date]],"mmm")</f>
        <v>Aug</v>
      </c>
    </row>
    <row r="268" spans="1:10" x14ac:dyDescent="0.35">
      <c r="A268" t="s">
        <v>294</v>
      </c>
      <c r="B268" s="2">
        <v>45888</v>
      </c>
      <c r="C268" t="s">
        <v>45</v>
      </c>
      <c r="D268" t="s">
        <v>11</v>
      </c>
      <c r="E268" s="3">
        <v>10303</v>
      </c>
      <c r="F268" t="s">
        <v>23</v>
      </c>
      <c r="G268" t="s">
        <v>13</v>
      </c>
      <c r="H268" s="3">
        <v>14408</v>
      </c>
      <c r="I268" s="3">
        <v>4105</v>
      </c>
      <c r="J268" t="str">
        <f>TEXT(tblExpenses[[#This Row],[Date]],"mmm")</f>
        <v>Aug</v>
      </c>
    </row>
    <row r="269" spans="1:10" x14ac:dyDescent="0.35">
      <c r="A269" t="s">
        <v>295</v>
      </c>
      <c r="B269" s="2">
        <v>45889</v>
      </c>
      <c r="C269" t="s">
        <v>45</v>
      </c>
      <c r="D269" t="s">
        <v>61</v>
      </c>
      <c r="E269" s="3">
        <v>29453</v>
      </c>
      <c r="F269" t="s">
        <v>23</v>
      </c>
      <c r="G269" t="s">
        <v>13</v>
      </c>
      <c r="H269" s="3">
        <v>40310</v>
      </c>
      <c r="I269" s="3">
        <v>10857</v>
      </c>
      <c r="J269" t="str">
        <f>TEXT(tblExpenses[[#This Row],[Date]],"mmm")</f>
        <v>Aug</v>
      </c>
    </row>
    <row r="270" spans="1:10" x14ac:dyDescent="0.35">
      <c r="A270" t="s">
        <v>296</v>
      </c>
      <c r="B270" s="2">
        <v>45895</v>
      </c>
      <c r="C270" t="s">
        <v>45</v>
      </c>
      <c r="D270" t="s">
        <v>18</v>
      </c>
      <c r="E270" s="3">
        <v>2273</v>
      </c>
      <c r="F270" t="s">
        <v>29</v>
      </c>
      <c r="G270" t="s">
        <v>13</v>
      </c>
      <c r="H270" s="3">
        <v>2377</v>
      </c>
      <c r="I270" s="3">
        <v>104</v>
      </c>
      <c r="J270" t="str">
        <f>TEXT(tblExpenses[[#This Row],[Date]],"mmm")</f>
        <v>Aug</v>
      </c>
    </row>
    <row r="271" spans="1:10" x14ac:dyDescent="0.35">
      <c r="A271" t="s">
        <v>297</v>
      </c>
      <c r="B271" s="2">
        <v>45871</v>
      </c>
      <c r="C271" t="s">
        <v>45</v>
      </c>
      <c r="D271" t="s">
        <v>33</v>
      </c>
      <c r="E271" s="3">
        <v>47380</v>
      </c>
      <c r="F271" t="s">
        <v>29</v>
      </c>
      <c r="G271" t="s">
        <v>25</v>
      </c>
      <c r="H271" s="3">
        <v>49223</v>
      </c>
      <c r="I271" s="3">
        <v>1843</v>
      </c>
      <c r="J271" t="str">
        <f>TEXT(tblExpenses[[#This Row],[Date]],"mmm")</f>
        <v>Aug</v>
      </c>
    </row>
    <row r="272" spans="1:10" x14ac:dyDescent="0.35">
      <c r="A272" t="s">
        <v>298</v>
      </c>
      <c r="B272" s="2">
        <v>45894</v>
      </c>
      <c r="C272" t="s">
        <v>54</v>
      </c>
      <c r="D272" t="s">
        <v>20</v>
      </c>
      <c r="E272" s="3">
        <v>95744</v>
      </c>
      <c r="F272" t="s">
        <v>16</v>
      </c>
      <c r="G272" t="s">
        <v>13</v>
      </c>
      <c r="H272" s="3">
        <v>110228</v>
      </c>
      <c r="I272" s="3">
        <v>14484</v>
      </c>
      <c r="J272" t="str">
        <f>TEXT(tblExpenses[[#This Row],[Date]],"mmm")</f>
        <v>Aug</v>
      </c>
    </row>
    <row r="273" spans="1:10" x14ac:dyDescent="0.35">
      <c r="A273" t="s">
        <v>299</v>
      </c>
      <c r="B273" s="2">
        <v>45885</v>
      </c>
      <c r="C273" t="s">
        <v>54</v>
      </c>
      <c r="D273" t="s">
        <v>22</v>
      </c>
      <c r="E273" s="3">
        <v>106439</v>
      </c>
      <c r="F273" t="s">
        <v>12</v>
      </c>
      <c r="G273" t="s">
        <v>13</v>
      </c>
      <c r="H273" s="3">
        <v>126957</v>
      </c>
      <c r="I273" s="3">
        <v>20518</v>
      </c>
      <c r="J273" t="str">
        <f>TEXT(tblExpenses[[#This Row],[Date]],"mmm")</f>
        <v>Aug</v>
      </c>
    </row>
    <row r="274" spans="1:10" x14ac:dyDescent="0.35">
      <c r="A274" t="s">
        <v>300</v>
      </c>
      <c r="B274" s="2">
        <v>45875</v>
      </c>
      <c r="C274" t="s">
        <v>54</v>
      </c>
      <c r="D274" t="s">
        <v>11</v>
      </c>
      <c r="E274" s="3">
        <v>41674</v>
      </c>
      <c r="F274" t="s">
        <v>12</v>
      </c>
      <c r="G274" t="s">
        <v>13</v>
      </c>
      <c r="H274" s="3">
        <v>59223</v>
      </c>
      <c r="I274" s="3">
        <v>17549</v>
      </c>
      <c r="J274" t="str">
        <f>TEXT(tblExpenses[[#This Row],[Date]],"mmm")</f>
        <v>Aug</v>
      </c>
    </row>
    <row r="275" spans="1:10" x14ac:dyDescent="0.35">
      <c r="A275" t="s">
        <v>301</v>
      </c>
      <c r="B275" s="2">
        <v>45878</v>
      </c>
      <c r="C275" t="s">
        <v>54</v>
      </c>
      <c r="D275" t="s">
        <v>20</v>
      </c>
      <c r="E275" s="3">
        <v>138475</v>
      </c>
      <c r="F275" t="s">
        <v>16</v>
      </c>
      <c r="G275" t="s">
        <v>25</v>
      </c>
      <c r="H275" s="3">
        <v>186602</v>
      </c>
      <c r="I275" s="3">
        <v>48127</v>
      </c>
      <c r="J275" t="str">
        <f>TEXT(tblExpenses[[#This Row],[Date]],"mmm")</f>
        <v>Aug</v>
      </c>
    </row>
    <row r="276" spans="1:10" x14ac:dyDescent="0.35">
      <c r="A276" t="s">
        <v>302</v>
      </c>
      <c r="B276" s="2">
        <v>45881</v>
      </c>
      <c r="C276" t="s">
        <v>54</v>
      </c>
      <c r="D276" t="s">
        <v>31</v>
      </c>
      <c r="E276" s="3">
        <v>3916</v>
      </c>
      <c r="F276" t="s">
        <v>23</v>
      </c>
      <c r="G276" t="s">
        <v>13</v>
      </c>
      <c r="H276" s="3">
        <v>3966</v>
      </c>
      <c r="I276" s="3">
        <v>50</v>
      </c>
      <c r="J276" t="str">
        <f>TEXT(tblExpenses[[#This Row],[Date]],"mmm")</f>
        <v>Aug</v>
      </c>
    </row>
    <row r="277" spans="1:10" x14ac:dyDescent="0.35">
      <c r="A277" t="s">
        <v>303</v>
      </c>
      <c r="B277" s="2">
        <v>45893</v>
      </c>
      <c r="C277" t="s">
        <v>54</v>
      </c>
      <c r="D277" t="s">
        <v>18</v>
      </c>
      <c r="E277" s="3">
        <v>3633</v>
      </c>
      <c r="F277" t="s">
        <v>16</v>
      </c>
      <c r="G277" t="s">
        <v>13</v>
      </c>
      <c r="H277" s="3">
        <v>4313</v>
      </c>
      <c r="I277" s="3">
        <v>680</v>
      </c>
      <c r="J277" t="str">
        <f>TEXT(tblExpenses[[#This Row],[Date]],"mmm")</f>
        <v>Aug</v>
      </c>
    </row>
    <row r="278" spans="1:10" x14ac:dyDescent="0.35">
      <c r="A278" t="s">
        <v>304</v>
      </c>
      <c r="B278" s="2">
        <v>45880</v>
      </c>
      <c r="C278" t="s">
        <v>54</v>
      </c>
      <c r="D278" t="s">
        <v>18</v>
      </c>
      <c r="E278" s="3">
        <v>545</v>
      </c>
      <c r="F278" t="s">
        <v>16</v>
      </c>
      <c r="G278" t="s">
        <v>13</v>
      </c>
      <c r="H278" s="3">
        <v>705</v>
      </c>
      <c r="I278" s="3">
        <v>160</v>
      </c>
      <c r="J278" t="str">
        <f>TEXT(tblExpenses[[#This Row],[Date]],"mmm")</f>
        <v>Aug</v>
      </c>
    </row>
    <row r="279" spans="1:10" x14ac:dyDescent="0.35">
      <c r="A279" t="s">
        <v>305</v>
      </c>
      <c r="B279" s="2">
        <v>45878</v>
      </c>
      <c r="C279" t="s">
        <v>54</v>
      </c>
      <c r="D279" t="s">
        <v>33</v>
      </c>
      <c r="E279" s="3">
        <v>40786</v>
      </c>
      <c r="F279" t="s">
        <v>23</v>
      </c>
      <c r="G279" t="s">
        <v>13</v>
      </c>
      <c r="H279" s="3">
        <v>41470</v>
      </c>
      <c r="I279" s="3">
        <v>684</v>
      </c>
      <c r="J279" t="str">
        <f>TEXT(tblExpenses[[#This Row],[Date]],"mmm")</f>
        <v>Aug</v>
      </c>
    </row>
    <row r="280" spans="1:10" x14ac:dyDescent="0.35">
      <c r="A280" t="s">
        <v>306</v>
      </c>
      <c r="B280" s="2">
        <v>45928</v>
      </c>
      <c r="C280" t="s">
        <v>10</v>
      </c>
      <c r="D280" t="s">
        <v>33</v>
      </c>
      <c r="E280" s="3">
        <v>79996</v>
      </c>
      <c r="F280" t="s">
        <v>23</v>
      </c>
      <c r="G280" t="s">
        <v>25</v>
      </c>
      <c r="H280" s="3">
        <v>112927</v>
      </c>
      <c r="I280" s="3">
        <v>32931</v>
      </c>
      <c r="J280" t="str">
        <f>TEXT(tblExpenses[[#This Row],[Date]],"mmm")</f>
        <v>Sep</v>
      </c>
    </row>
    <row r="281" spans="1:10" x14ac:dyDescent="0.35">
      <c r="A281" t="s">
        <v>307</v>
      </c>
      <c r="B281" s="2">
        <v>45921</v>
      </c>
      <c r="C281" t="s">
        <v>10</v>
      </c>
      <c r="D281" t="s">
        <v>15</v>
      </c>
      <c r="E281" s="3">
        <v>134111</v>
      </c>
      <c r="F281" t="s">
        <v>16</v>
      </c>
      <c r="G281" t="s">
        <v>13</v>
      </c>
      <c r="H281" s="3">
        <v>184398</v>
      </c>
      <c r="I281" s="3">
        <v>50287</v>
      </c>
      <c r="J281" t="str">
        <f>TEXT(tblExpenses[[#This Row],[Date]],"mmm")</f>
        <v>Sep</v>
      </c>
    </row>
    <row r="282" spans="1:10" x14ac:dyDescent="0.35">
      <c r="A282" t="s">
        <v>308</v>
      </c>
      <c r="B282" s="2">
        <v>45905</v>
      </c>
      <c r="C282" t="s">
        <v>10</v>
      </c>
      <c r="D282" t="s">
        <v>15</v>
      </c>
      <c r="E282" s="3">
        <v>56375</v>
      </c>
      <c r="F282" t="s">
        <v>16</v>
      </c>
      <c r="G282" t="s">
        <v>13</v>
      </c>
      <c r="H282" s="3">
        <v>80924</v>
      </c>
      <c r="I282" s="3">
        <v>24549</v>
      </c>
      <c r="J282" t="str">
        <f>TEXT(tblExpenses[[#This Row],[Date]],"mmm")</f>
        <v>Sep</v>
      </c>
    </row>
    <row r="283" spans="1:10" x14ac:dyDescent="0.35">
      <c r="A283" t="s">
        <v>309</v>
      </c>
      <c r="B283" s="2">
        <v>45911</v>
      </c>
      <c r="C283" t="s">
        <v>10</v>
      </c>
      <c r="D283" t="s">
        <v>20</v>
      </c>
      <c r="E283" s="3">
        <v>177111</v>
      </c>
      <c r="F283" t="s">
        <v>16</v>
      </c>
      <c r="G283" t="s">
        <v>25</v>
      </c>
      <c r="H283" s="3">
        <v>240038</v>
      </c>
      <c r="I283" s="3">
        <v>62927</v>
      </c>
      <c r="J283" t="str">
        <f>TEXT(tblExpenses[[#This Row],[Date]],"mmm")</f>
        <v>Sep</v>
      </c>
    </row>
    <row r="284" spans="1:10" x14ac:dyDescent="0.35">
      <c r="A284" t="s">
        <v>310</v>
      </c>
      <c r="B284" s="2">
        <v>45928</v>
      </c>
      <c r="C284" t="s">
        <v>10</v>
      </c>
      <c r="D284" t="s">
        <v>33</v>
      </c>
      <c r="E284" s="3">
        <v>48603</v>
      </c>
      <c r="F284" t="s">
        <v>12</v>
      </c>
      <c r="G284" t="s">
        <v>13</v>
      </c>
      <c r="H284" s="3">
        <v>68950</v>
      </c>
      <c r="I284" s="3">
        <v>20347</v>
      </c>
      <c r="J284" t="str">
        <f>TEXT(tblExpenses[[#This Row],[Date]],"mmm")</f>
        <v>Sep</v>
      </c>
    </row>
    <row r="285" spans="1:10" x14ac:dyDescent="0.35">
      <c r="A285" t="s">
        <v>311</v>
      </c>
      <c r="B285" s="2">
        <v>45922</v>
      </c>
      <c r="C285" t="s">
        <v>15</v>
      </c>
      <c r="D285" t="s">
        <v>33</v>
      </c>
      <c r="E285" s="3">
        <v>57844</v>
      </c>
      <c r="F285" t="s">
        <v>16</v>
      </c>
      <c r="G285" t="s">
        <v>13</v>
      </c>
      <c r="H285" s="3">
        <v>69887</v>
      </c>
      <c r="I285" s="3">
        <v>12043</v>
      </c>
      <c r="J285" t="str">
        <f>TEXT(tblExpenses[[#This Row],[Date]],"mmm")</f>
        <v>Sep</v>
      </c>
    </row>
    <row r="286" spans="1:10" x14ac:dyDescent="0.35">
      <c r="A286" t="s">
        <v>312</v>
      </c>
      <c r="B286" s="2">
        <v>45915</v>
      </c>
      <c r="C286" t="s">
        <v>15</v>
      </c>
      <c r="D286" t="s">
        <v>15</v>
      </c>
      <c r="E286" s="3">
        <v>79897</v>
      </c>
      <c r="F286" t="s">
        <v>16</v>
      </c>
      <c r="G286" t="s">
        <v>13</v>
      </c>
      <c r="H286" s="3">
        <v>83251</v>
      </c>
      <c r="I286" s="3">
        <v>3354</v>
      </c>
      <c r="J286" t="str">
        <f>TEXT(tblExpenses[[#This Row],[Date]],"mmm")</f>
        <v>Sep</v>
      </c>
    </row>
    <row r="287" spans="1:10" x14ac:dyDescent="0.35">
      <c r="A287" t="s">
        <v>313</v>
      </c>
      <c r="B287" s="2">
        <v>45927</v>
      </c>
      <c r="C287" t="s">
        <v>15</v>
      </c>
      <c r="D287" t="s">
        <v>22</v>
      </c>
      <c r="E287" s="3">
        <v>27671</v>
      </c>
      <c r="F287" t="s">
        <v>16</v>
      </c>
      <c r="G287" t="s">
        <v>13</v>
      </c>
      <c r="H287" s="3">
        <v>36461</v>
      </c>
      <c r="I287" s="3">
        <v>8790</v>
      </c>
      <c r="J287" t="str">
        <f>TEXT(tblExpenses[[#This Row],[Date]],"mmm")</f>
        <v>Sep</v>
      </c>
    </row>
    <row r="288" spans="1:10" x14ac:dyDescent="0.35">
      <c r="A288" t="s">
        <v>314</v>
      </c>
      <c r="B288" s="2">
        <v>45919</v>
      </c>
      <c r="C288" t="s">
        <v>15</v>
      </c>
      <c r="D288" t="s">
        <v>31</v>
      </c>
      <c r="E288" s="3">
        <v>2928</v>
      </c>
      <c r="F288" t="s">
        <v>16</v>
      </c>
      <c r="G288" t="s">
        <v>25</v>
      </c>
      <c r="H288" s="3">
        <v>3428</v>
      </c>
      <c r="I288" s="3">
        <v>500</v>
      </c>
      <c r="J288" t="str">
        <f>TEXT(tblExpenses[[#This Row],[Date]],"mmm")</f>
        <v>Sep</v>
      </c>
    </row>
    <row r="289" spans="1:10" x14ac:dyDescent="0.35">
      <c r="A289" t="s">
        <v>315</v>
      </c>
      <c r="B289" s="2">
        <v>45903</v>
      </c>
      <c r="C289" t="s">
        <v>15</v>
      </c>
      <c r="D289" t="s">
        <v>11</v>
      </c>
      <c r="E289" s="3">
        <v>7935</v>
      </c>
      <c r="F289" t="s">
        <v>29</v>
      </c>
      <c r="G289" t="s">
        <v>13</v>
      </c>
      <c r="H289" s="3">
        <v>8659</v>
      </c>
      <c r="I289" s="3">
        <v>724</v>
      </c>
      <c r="J289" t="str">
        <f>TEXT(tblExpenses[[#This Row],[Date]],"mmm")</f>
        <v>Sep</v>
      </c>
    </row>
    <row r="290" spans="1:10" x14ac:dyDescent="0.35">
      <c r="A290" t="s">
        <v>316</v>
      </c>
      <c r="B290" s="2">
        <v>45907</v>
      </c>
      <c r="C290" t="s">
        <v>15</v>
      </c>
      <c r="D290" t="s">
        <v>33</v>
      </c>
      <c r="E290" s="3">
        <v>27195</v>
      </c>
      <c r="F290" t="s">
        <v>12</v>
      </c>
      <c r="G290" t="s">
        <v>13</v>
      </c>
      <c r="H290" s="3">
        <v>37920</v>
      </c>
      <c r="I290" s="3">
        <v>10725</v>
      </c>
      <c r="J290" t="str">
        <f>TEXT(tblExpenses[[#This Row],[Date]],"mmm")</f>
        <v>Sep</v>
      </c>
    </row>
    <row r="291" spans="1:10" x14ac:dyDescent="0.35">
      <c r="A291" t="s">
        <v>317</v>
      </c>
      <c r="B291" s="2">
        <v>45928</v>
      </c>
      <c r="C291" t="s">
        <v>15</v>
      </c>
      <c r="D291" t="s">
        <v>61</v>
      </c>
      <c r="E291" s="3">
        <v>25311</v>
      </c>
      <c r="F291" t="s">
        <v>29</v>
      </c>
      <c r="G291" t="s">
        <v>13</v>
      </c>
      <c r="H291" s="3">
        <v>33440</v>
      </c>
      <c r="I291" s="3">
        <v>8129</v>
      </c>
      <c r="J291" t="str">
        <f>TEXT(tblExpenses[[#This Row],[Date]],"mmm")</f>
        <v>Sep</v>
      </c>
    </row>
    <row r="292" spans="1:10" x14ac:dyDescent="0.35">
      <c r="A292" t="s">
        <v>318</v>
      </c>
      <c r="B292" s="2">
        <v>45919</v>
      </c>
      <c r="C292" t="s">
        <v>27</v>
      </c>
      <c r="D292" t="s">
        <v>61</v>
      </c>
      <c r="E292" s="3">
        <v>8832</v>
      </c>
      <c r="F292" t="s">
        <v>12</v>
      </c>
      <c r="G292" t="s">
        <v>13</v>
      </c>
      <c r="H292" s="3">
        <v>10064</v>
      </c>
      <c r="I292" s="3">
        <v>1232</v>
      </c>
      <c r="J292" t="str">
        <f>TEXT(tblExpenses[[#This Row],[Date]],"mmm")</f>
        <v>Sep</v>
      </c>
    </row>
    <row r="293" spans="1:10" x14ac:dyDescent="0.35">
      <c r="A293" t="s">
        <v>319</v>
      </c>
      <c r="B293" s="2">
        <v>45910</v>
      </c>
      <c r="C293" t="s">
        <v>27</v>
      </c>
      <c r="D293" t="s">
        <v>61</v>
      </c>
      <c r="E293" s="3">
        <v>9528</v>
      </c>
      <c r="F293" t="s">
        <v>12</v>
      </c>
      <c r="G293" t="s">
        <v>13</v>
      </c>
      <c r="H293" s="3">
        <v>10372</v>
      </c>
      <c r="I293" s="3">
        <v>844</v>
      </c>
      <c r="J293" t="str">
        <f>TEXT(tblExpenses[[#This Row],[Date]],"mmm")</f>
        <v>Sep</v>
      </c>
    </row>
    <row r="294" spans="1:10" x14ac:dyDescent="0.35">
      <c r="A294" t="s">
        <v>320</v>
      </c>
      <c r="B294" s="2">
        <v>45912</v>
      </c>
      <c r="C294" t="s">
        <v>27</v>
      </c>
      <c r="D294" t="s">
        <v>20</v>
      </c>
      <c r="E294" s="3">
        <v>103101</v>
      </c>
      <c r="F294" t="s">
        <v>23</v>
      </c>
      <c r="G294" t="s">
        <v>13</v>
      </c>
      <c r="H294" s="3">
        <v>132933</v>
      </c>
      <c r="I294" s="3">
        <v>29832</v>
      </c>
      <c r="J294" t="str">
        <f>TEXT(tblExpenses[[#This Row],[Date]],"mmm")</f>
        <v>Sep</v>
      </c>
    </row>
    <row r="295" spans="1:10" x14ac:dyDescent="0.35">
      <c r="A295" t="s">
        <v>321</v>
      </c>
      <c r="B295" s="2">
        <v>45907</v>
      </c>
      <c r="C295" t="s">
        <v>27</v>
      </c>
      <c r="D295" t="s">
        <v>22</v>
      </c>
      <c r="E295" s="3">
        <v>25408</v>
      </c>
      <c r="F295" t="s">
        <v>23</v>
      </c>
      <c r="G295" t="s">
        <v>13</v>
      </c>
      <c r="H295" s="3">
        <v>32242</v>
      </c>
      <c r="I295" s="3">
        <v>6834</v>
      </c>
      <c r="J295" t="str">
        <f>TEXT(tblExpenses[[#This Row],[Date]],"mmm")</f>
        <v>Sep</v>
      </c>
    </row>
    <row r="296" spans="1:10" x14ac:dyDescent="0.35">
      <c r="A296" t="s">
        <v>322</v>
      </c>
      <c r="B296" s="2">
        <v>45918</v>
      </c>
      <c r="C296" t="s">
        <v>27</v>
      </c>
      <c r="D296" t="s">
        <v>31</v>
      </c>
      <c r="E296" s="3">
        <v>12463</v>
      </c>
      <c r="F296" t="s">
        <v>12</v>
      </c>
      <c r="G296" t="s">
        <v>13</v>
      </c>
      <c r="H296" s="3">
        <v>18498</v>
      </c>
      <c r="I296" s="3">
        <v>6035</v>
      </c>
      <c r="J296" t="str">
        <f>TEXT(tblExpenses[[#This Row],[Date]],"mmm")</f>
        <v>Sep</v>
      </c>
    </row>
    <row r="297" spans="1:10" x14ac:dyDescent="0.35">
      <c r="A297" t="s">
        <v>323</v>
      </c>
      <c r="B297" s="2">
        <v>45902</v>
      </c>
      <c r="C297" t="s">
        <v>27</v>
      </c>
      <c r="D297" t="s">
        <v>61</v>
      </c>
      <c r="E297" s="3">
        <v>10151</v>
      </c>
      <c r="F297" t="s">
        <v>16</v>
      </c>
      <c r="G297" t="s">
        <v>25</v>
      </c>
      <c r="H297" s="3">
        <v>12525</v>
      </c>
      <c r="I297" s="3">
        <v>2374</v>
      </c>
      <c r="J297" t="str">
        <f>TEXT(tblExpenses[[#This Row],[Date]],"mmm")</f>
        <v>Sep</v>
      </c>
    </row>
    <row r="298" spans="1:10" x14ac:dyDescent="0.35">
      <c r="A298" t="s">
        <v>324</v>
      </c>
      <c r="B298" s="2">
        <v>45919</v>
      </c>
      <c r="C298" t="s">
        <v>38</v>
      </c>
      <c r="D298" t="s">
        <v>20</v>
      </c>
      <c r="E298" s="3">
        <v>163831</v>
      </c>
      <c r="F298" t="s">
        <v>23</v>
      </c>
      <c r="G298" t="s">
        <v>25</v>
      </c>
      <c r="H298" s="3">
        <v>190289</v>
      </c>
      <c r="I298" s="3">
        <v>26458</v>
      </c>
      <c r="J298" t="str">
        <f>TEXT(tblExpenses[[#This Row],[Date]],"mmm")</f>
        <v>Sep</v>
      </c>
    </row>
    <row r="299" spans="1:10" x14ac:dyDescent="0.35">
      <c r="A299" t="s">
        <v>325</v>
      </c>
      <c r="B299" s="2">
        <v>45901</v>
      </c>
      <c r="C299" t="s">
        <v>38</v>
      </c>
      <c r="D299" t="s">
        <v>11</v>
      </c>
      <c r="E299" s="3">
        <v>43253</v>
      </c>
      <c r="F299" t="s">
        <v>29</v>
      </c>
      <c r="G299" t="s">
        <v>13</v>
      </c>
      <c r="H299" s="3">
        <v>51014</v>
      </c>
      <c r="I299" s="3">
        <v>7761</v>
      </c>
      <c r="J299" t="str">
        <f>TEXT(tblExpenses[[#This Row],[Date]],"mmm")</f>
        <v>Sep</v>
      </c>
    </row>
    <row r="300" spans="1:10" x14ac:dyDescent="0.35">
      <c r="A300" t="s">
        <v>326</v>
      </c>
      <c r="B300" s="2">
        <v>45906</v>
      </c>
      <c r="C300" t="s">
        <v>38</v>
      </c>
      <c r="D300" t="s">
        <v>31</v>
      </c>
      <c r="E300" s="3">
        <v>11614</v>
      </c>
      <c r="F300" t="s">
        <v>12</v>
      </c>
      <c r="G300" t="s">
        <v>13</v>
      </c>
      <c r="H300" s="3">
        <v>16858</v>
      </c>
      <c r="I300" s="3">
        <v>5244</v>
      </c>
      <c r="J300" t="str">
        <f>TEXT(tblExpenses[[#This Row],[Date]],"mmm")</f>
        <v>Sep</v>
      </c>
    </row>
    <row r="301" spans="1:10" x14ac:dyDescent="0.35">
      <c r="A301" t="s">
        <v>327</v>
      </c>
      <c r="B301" s="2">
        <v>45920</v>
      </c>
      <c r="C301" t="s">
        <v>38</v>
      </c>
      <c r="D301" t="s">
        <v>15</v>
      </c>
      <c r="E301" s="3">
        <v>15701</v>
      </c>
      <c r="F301" t="s">
        <v>23</v>
      </c>
      <c r="G301" t="s">
        <v>25</v>
      </c>
      <c r="H301" s="3">
        <v>19147</v>
      </c>
      <c r="I301" s="3">
        <v>3446</v>
      </c>
      <c r="J301" t="str">
        <f>TEXT(tblExpenses[[#This Row],[Date]],"mmm")</f>
        <v>Sep</v>
      </c>
    </row>
    <row r="302" spans="1:10" x14ac:dyDescent="0.35">
      <c r="A302" t="s">
        <v>328</v>
      </c>
      <c r="B302" s="2">
        <v>45909</v>
      </c>
      <c r="C302" t="s">
        <v>45</v>
      </c>
      <c r="D302" t="s">
        <v>22</v>
      </c>
      <c r="E302" s="3">
        <v>67072</v>
      </c>
      <c r="F302" t="s">
        <v>12</v>
      </c>
      <c r="G302" t="s">
        <v>25</v>
      </c>
      <c r="H302" s="3">
        <v>95044</v>
      </c>
      <c r="I302" s="3">
        <v>27972</v>
      </c>
      <c r="J302" t="str">
        <f>TEXT(tblExpenses[[#This Row],[Date]],"mmm")</f>
        <v>Sep</v>
      </c>
    </row>
    <row r="303" spans="1:10" x14ac:dyDescent="0.35">
      <c r="A303" t="s">
        <v>329</v>
      </c>
      <c r="B303" s="2">
        <v>45908</v>
      </c>
      <c r="C303" t="s">
        <v>45</v>
      </c>
      <c r="D303" t="s">
        <v>22</v>
      </c>
      <c r="E303" s="3">
        <v>44344</v>
      </c>
      <c r="F303" t="s">
        <v>16</v>
      </c>
      <c r="G303" t="s">
        <v>13</v>
      </c>
      <c r="H303" s="3">
        <v>45234</v>
      </c>
      <c r="I303" s="3">
        <v>890</v>
      </c>
      <c r="J303" t="str">
        <f>TEXT(tblExpenses[[#This Row],[Date]],"mmm")</f>
        <v>Sep</v>
      </c>
    </row>
    <row r="304" spans="1:10" x14ac:dyDescent="0.35">
      <c r="A304" t="s">
        <v>330</v>
      </c>
      <c r="B304" s="2">
        <v>45917</v>
      </c>
      <c r="C304" t="s">
        <v>45</v>
      </c>
      <c r="D304" t="s">
        <v>22</v>
      </c>
      <c r="E304" s="3">
        <v>82735</v>
      </c>
      <c r="F304" t="s">
        <v>29</v>
      </c>
      <c r="G304" t="s">
        <v>13</v>
      </c>
      <c r="H304" s="3">
        <v>83916</v>
      </c>
      <c r="I304" s="3">
        <v>1181</v>
      </c>
      <c r="J304" t="str">
        <f>TEXT(tblExpenses[[#This Row],[Date]],"mmm")</f>
        <v>Sep</v>
      </c>
    </row>
    <row r="305" spans="1:10" x14ac:dyDescent="0.35">
      <c r="A305" t="s">
        <v>331</v>
      </c>
      <c r="B305" s="2">
        <v>45905</v>
      </c>
      <c r="C305" t="s">
        <v>45</v>
      </c>
      <c r="D305" t="s">
        <v>18</v>
      </c>
      <c r="E305" s="3">
        <v>5152</v>
      </c>
      <c r="F305" t="s">
        <v>12</v>
      </c>
      <c r="G305" t="s">
        <v>13</v>
      </c>
      <c r="H305" s="3">
        <v>7089</v>
      </c>
      <c r="I305" s="3">
        <v>1937</v>
      </c>
      <c r="J305" t="str">
        <f>TEXT(tblExpenses[[#This Row],[Date]],"mmm")</f>
        <v>Sep</v>
      </c>
    </row>
    <row r="306" spans="1:10" x14ac:dyDescent="0.35">
      <c r="A306" t="s">
        <v>332</v>
      </c>
      <c r="B306" s="2">
        <v>45906</v>
      </c>
      <c r="C306" t="s">
        <v>45</v>
      </c>
      <c r="D306" t="s">
        <v>15</v>
      </c>
      <c r="E306" s="3">
        <v>100728</v>
      </c>
      <c r="F306" t="s">
        <v>23</v>
      </c>
      <c r="G306" t="s">
        <v>13</v>
      </c>
      <c r="H306" s="3">
        <v>123831</v>
      </c>
      <c r="I306" s="3">
        <v>23103</v>
      </c>
      <c r="J306" t="str">
        <f>TEXT(tblExpenses[[#This Row],[Date]],"mmm")</f>
        <v>Sep</v>
      </c>
    </row>
    <row r="307" spans="1:10" x14ac:dyDescent="0.35">
      <c r="A307" t="s">
        <v>333</v>
      </c>
      <c r="B307" s="2">
        <v>45906</v>
      </c>
      <c r="C307" t="s">
        <v>45</v>
      </c>
      <c r="D307" t="s">
        <v>15</v>
      </c>
      <c r="E307" s="3">
        <v>88979</v>
      </c>
      <c r="F307" t="s">
        <v>29</v>
      </c>
      <c r="G307" t="s">
        <v>13</v>
      </c>
      <c r="H307" s="3">
        <v>102661</v>
      </c>
      <c r="I307" s="3">
        <v>13682</v>
      </c>
      <c r="J307" t="str">
        <f>TEXT(tblExpenses[[#This Row],[Date]],"mmm")</f>
        <v>Sep</v>
      </c>
    </row>
    <row r="308" spans="1:10" x14ac:dyDescent="0.35">
      <c r="A308" t="s">
        <v>334</v>
      </c>
      <c r="B308" s="2">
        <v>45928</v>
      </c>
      <c r="C308" t="s">
        <v>45</v>
      </c>
      <c r="D308" t="s">
        <v>18</v>
      </c>
      <c r="E308" s="3">
        <v>1762</v>
      </c>
      <c r="F308" t="s">
        <v>12</v>
      </c>
      <c r="G308" t="s">
        <v>13</v>
      </c>
      <c r="H308" s="3">
        <v>2365</v>
      </c>
      <c r="I308" s="3">
        <v>603</v>
      </c>
      <c r="J308" t="str">
        <f>TEXT(tblExpenses[[#This Row],[Date]],"mmm")</f>
        <v>Sep</v>
      </c>
    </row>
    <row r="309" spans="1:10" x14ac:dyDescent="0.35">
      <c r="A309" t="s">
        <v>335</v>
      </c>
      <c r="B309" s="2">
        <v>45922</v>
      </c>
      <c r="C309" t="s">
        <v>45</v>
      </c>
      <c r="D309" t="s">
        <v>31</v>
      </c>
      <c r="E309" s="3">
        <v>2636</v>
      </c>
      <c r="F309" t="s">
        <v>23</v>
      </c>
      <c r="G309" t="s">
        <v>13</v>
      </c>
      <c r="H309" s="3">
        <v>3257</v>
      </c>
      <c r="I309" s="3">
        <v>621</v>
      </c>
      <c r="J309" t="str">
        <f>TEXT(tblExpenses[[#This Row],[Date]],"mmm")</f>
        <v>Sep</v>
      </c>
    </row>
    <row r="310" spans="1:10" x14ac:dyDescent="0.35">
      <c r="A310" t="s">
        <v>336</v>
      </c>
      <c r="B310" s="2">
        <v>45904</v>
      </c>
      <c r="C310" t="s">
        <v>54</v>
      </c>
      <c r="D310" t="s">
        <v>20</v>
      </c>
      <c r="E310" s="3">
        <v>195132</v>
      </c>
      <c r="F310" t="s">
        <v>23</v>
      </c>
      <c r="G310" t="s">
        <v>13</v>
      </c>
      <c r="H310" s="3">
        <v>218815</v>
      </c>
      <c r="I310" s="3">
        <v>23683</v>
      </c>
      <c r="J310" t="str">
        <f>TEXT(tblExpenses[[#This Row],[Date]],"mmm")</f>
        <v>Sep</v>
      </c>
    </row>
    <row r="311" spans="1:10" x14ac:dyDescent="0.35">
      <c r="A311" t="s">
        <v>337</v>
      </c>
      <c r="B311" s="2">
        <v>45910</v>
      </c>
      <c r="C311" t="s">
        <v>54</v>
      </c>
      <c r="D311" t="s">
        <v>22</v>
      </c>
      <c r="E311" s="3">
        <v>106352</v>
      </c>
      <c r="F311" t="s">
        <v>23</v>
      </c>
      <c r="G311" t="s">
        <v>25</v>
      </c>
      <c r="H311" s="3">
        <v>123746</v>
      </c>
      <c r="I311" s="3">
        <v>17394</v>
      </c>
      <c r="J311" t="str">
        <f>TEXT(tblExpenses[[#This Row],[Date]],"mmm")</f>
        <v>Sep</v>
      </c>
    </row>
    <row r="312" spans="1:10" x14ac:dyDescent="0.35">
      <c r="A312" t="s">
        <v>338</v>
      </c>
      <c r="B312" s="2">
        <v>45924</v>
      </c>
      <c r="C312" t="s">
        <v>54</v>
      </c>
      <c r="D312" t="s">
        <v>11</v>
      </c>
      <c r="E312" s="3">
        <v>24732</v>
      </c>
      <c r="F312" t="s">
        <v>16</v>
      </c>
      <c r="G312" t="s">
        <v>13</v>
      </c>
      <c r="H312" s="3">
        <v>30770</v>
      </c>
      <c r="I312" s="3">
        <v>6038</v>
      </c>
      <c r="J312" t="str">
        <f>TEXT(tblExpenses[[#This Row],[Date]],"mmm")</f>
        <v>Sep</v>
      </c>
    </row>
    <row r="313" spans="1:10" x14ac:dyDescent="0.35">
      <c r="A313" t="s">
        <v>339</v>
      </c>
      <c r="B313" s="2">
        <v>45917</v>
      </c>
      <c r="C313" t="s">
        <v>54</v>
      </c>
      <c r="D313" t="s">
        <v>18</v>
      </c>
      <c r="E313" s="3">
        <v>3523</v>
      </c>
      <c r="F313" t="s">
        <v>16</v>
      </c>
      <c r="G313" t="s">
        <v>25</v>
      </c>
      <c r="H313" s="3">
        <v>4161</v>
      </c>
      <c r="I313" s="3">
        <v>638</v>
      </c>
      <c r="J313" t="str">
        <f>TEXT(tblExpenses[[#This Row],[Date]],"mmm")</f>
        <v>Sep</v>
      </c>
    </row>
    <row r="314" spans="1:10" x14ac:dyDescent="0.35">
      <c r="A314" t="s">
        <v>340</v>
      </c>
      <c r="B314" s="2">
        <v>45916</v>
      </c>
      <c r="C314" t="s">
        <v>54</v>
      </c>
      <c r="D314" t="s">
        <v>11</v>
      </c>
      <c r="E314" s="3">
        <v>44308</v>
      </c>
      <c r="F314" t="s">
        <v>29</v>
      </c>
      <c r="G314" t="s">
        <v>13</v>
      </c>
      <c r="H314" s="3">
        <v>49405</v>
      </c>
      <c r="I314" s="3">
        <v>5097</v>
      </c>
      <c r="J314" t="str">
        <f>TEXT(tblExpenses[[#This Row],[Date]],"mmm")</f>
        <v>Sep</v>
      </c>
    </row>
    <row r="315" spans="1:10" x14ac:dyDescent="0.35">
      <c r="A315" t="s">
        <v>341</v>
      </c>
      <c r="B315" s="2">
        <v>45921</v>
      </c>
      <c r="C315" t="s">
        <v>54</v>
      </c>
      <c r="D315" t="s">
        <v>22</v>
      </c>
      <c r="E315" s="3">
        <v>17170</v>
      </c>
      <c r="F315" t="s">
        <v>29</v>
      </c>
      <c r="G315" t="s">
        <v>13</v>
      </c>
      <c r="H315" s="3">
        <v>20085</v>
      </c>
      <c r="I315" s="3">
        <v>2915</v>
      </c>
      <c r="J315" t="str">
        <f>TEXT(tblExpenses[[#This Row],[Date]],"mmm")</f>
        <v>Sep</v>
      </c>
    </row>
    <row r="316" spans="1:10" x14ac:dyDescent="0.35">
      <c r="A316" t="s">
        <v>342</v>
      </c>
      <c r="B316" s="2">
        <v>45932</v>
      </c>
      <c r="C316" t="s">
        <v>10</v>
      </c>
      <c r="D316" t="s">
        <v>22</v>
      </c>
      <c r="E316" s="3">
        <v>93509</v>
      </c>
      <c r="F316" t="s">
        <v>12</v>
      </c>
      <c r="G316" t="s">
        <v>13</v>
      </c>
      <c r="H316" s="3">
        <v>131907</v>
      </c>
      <c r="I316" s="3">
        <v>38398</v>
      </c>
      <c r="J316" t="str">
        <f>TEXT(tblExpenses[[#This Row],[Date]],"mmm")</f>
        <v>Oct</v>
      </c>
    </row>
    <row r="317" spans="1:10" x14ac:dyDescent="0.35">
      <c r="A317" t="s">
        <v>343</v>
      </c>
      <c r="B317" s="2">
        <v>45934</v>
      </c>
      <c r="C317" t="s">
        <v>10</v>
      </c>
      <c r="D317" t="s">
        <v>22</v>
      </c>
      <c r="E317" s="3">
        <v>94435</v>
      </c>
      <c r="F317" t="s">
        <v>23</v>
      </c>
      <c r="G317" t="s">
        <v>13</v>
      </c>
      <c r="H317" s="3">
        <v>118863</v>
      </c>
      <c r="I317" s="3">
        <v>24428</v>
      </c>
      <c r="J317" t="str">
        <f>TEXT(tblExpenses[[#This Row],[Date]],"mmm")</f>
        <v>Oct</v>
      </c>
    </row>
    <row r="318" spans="1:10" x14ac:dyDescent="0.35">
      <c r="A318" t="s">
        <v>344</v>
      </c>
      <c r="B318" s="2">
        <v>45956</v>
      </c>
      <c r="C318" t="s">
        <v>10</v>
      </c>
      <c r="D318" t="s">
        <v>11</v>
      </c>
      <c r="E318" s="3">
        <v>44983</v>
      </c>
      <c r="F318" t="s">
        <v>16</v>
      </c>
      <c r="G318" t="s">
        <v>13</v>
      </c>
      <c r="H318" s="3">
        <v>64381</v>
      </c>
      <c r="I318" s="3">
        <v>19398</v>
      </c>
      <c r="J318" t="str">
        <f>TEXT(tblExpenses[[#This Row],[Date]],"mmm")</f>
        <v>Oct</v>
      </c>
    </row>
    <row r="319" spans="1:10" x14ac:dyDescent="0.35">
      <c r="A319" t="s">
        <v>345</v>
      </c>
      <c r="B319" s="2">
        <v>45946</v>
      </c>
      <c r="C319" t="s">
        <v>10</v>
      </c>
      <c r="D319" t="s">
        <v>22</v>
      </c>
      <c r="E319" s="3">
        <v>94954</v>
      </c>
      <c r="F319" t="s">
        <v>23</v>
      </c>
      <c r="G319" t="s">
        <v>13</v>
      </c>
      <c r="H319" s="3">
        <v>116541</v>
      </c>
      <c r="I319" s="3">
        <v>21587</v>
      </c>
      <c r="J319" t="str">
        <f>TEXT(tblExpenses[[#This Row],[Date]],"mmm")</f>
        <v>Oct</v>
      </c>
    </row>
    <row r="320" spans="1:10" x14ac:dyDescent="0.35">
      <c r="A320" t="s">
        <v>346</v>
      </c>
      <c r="B320" s="2">
        <v>45934</v>
      </c>
      <c r="C320" t="s">
        <v>10</v>
      </c>
      <c r="D320" t="s">
        <v>22</v>
      </c>
      <c r="E320" s="3">
        <v>38901</v>
      </c>
      <c r="F320" t="s">
        <v>23</v>
      </c>
      <c r="G320" t="s">
        <v>25</v>
      </c>
      <c r="H320" s="3">
        <v>53335</v>
      </c>
      <c r="I320" s="3">
        <v>14434</v>
      </c>
      <c r="J320" t="str">
        <f>TEXT(tblExpenses[[#This Row],[Date]],"mmm")</f>
        <v>Oct</v>
      </c>
    </row>
    <row r="321" spans="1:10" x14ac:dyDescent="0.35">
      <c r="A321" t="s">
        <v>347</v>
      </c>
      <c r="B321" s="2">
        <v>45942</v>
      </c>
      <c r="C321" t="s">
        <v>15</v>
      </c>
      <c r="D321" t="s">
        <v>31</v>
      </c>
      <c r="E321" s="3">
        <v>14830</v>
      </c>
      <c r="F321" t="s">
        <v>16</v>
      </c>
      <c r="G321" t="s">
        <v>13</v>
      </c>
      <c r="H321" s="3">
        <v>18797</v>
      </c>
      <c r="I321" s="3">
        <v>3967</v>
      </c>
      <c r="J321" t="str">
        <f>TEXT(tblExpenses[[#This Row],[Date]],"mmm")</f>
        <v>Oct</v>
      </c>
    </row>
    <row r="322" spans="1:10" x14ac:dyDescent="0.35">
      <c r="A322" t="s">
        <v>348</v>
      </c>
      <c r="B322" s="2">
        <v>45935</v>
      </c>
      <c r="C322" t="s">
        <v>15</v>
      </c>
      <c r="D322" t="s">
        <v>22</v>
      </c>
      <c r="E322" s="3">
        <v>119073</v>
      </c>
      <c r="F322" t="s">
        <v>16</v>
      </c>
      <c r="G322" t="s">
        <v>13</v>
      </c>
      <c r="H322" s="3">
        <v>159243</v>
      </c>
      <c r="I322" s="3">
        <v>40170</v>
      </c>
      <c r="J322" t="str">
        <f>TEXT(tblExpenses[[#This Row],[Date]],"mmm")</f>
        <v>Oct</v>
      </c>
    </row>
    <row r="323" spans="1:10" x14ac:dyDescent="0.35">
      <c r="A323" t="s">
        <v>349</v>
      </c>
      <c r="B323" s="2">
        <v>45954</v>
      </c>
      <c r="C323" t="s">
        <v>15</v>
      </c>
      <c r="D323" t="s">
        <v>18</v>
      </c>
      <c r="E323" s="3">
        <v>4718</v>
      </c>
      <c r="F323" t="s">
        <v>23</v>
      </c>
      <c r="G323" t="s">
        <v>13</v>
      </c>
      <c r="H323" s="3">
        <v>6635</v>
      </c>
      <c r="I323" s="3">
        <v>1917</v>
      </c>
      <c r="J323" t="str">
        <f>TEXT(tblExpenses[[#This Row],[Date]],"mmm")</f>
        <v>Oct</v>
      </c>
    </row>
    <row r="324" spans="1:10" x14ac:dyDescent="0.35">
      <c r="A324" t="s">
        <v>350</v>
      </c>
      <c r="B324" s="2">
        <v>45946</v>
      </c>
      <c r="C324" t="s">
        <v>15</v>
      </c>
      <c r="D324" t="s">
        <v>61</v>
      </c>
      <c r="E324" s="3">
        <v>4305</v>
      </c>
      <c r="F324" t="s">
        <v>23</v>
      </c>
      <c r="G324" t="s">
        <v>13</v>
      </c>
      <c r="H324" s="3">
        <v>4567</v>
      </c>
      <c r="I324" s="3">
        <v>262</v>
      </c>
      <c r="J324" t="str">
        <f>TEXT(tblExpenses[[#This Row],[Date]],"mmm")</f>
        <v>Oct</v>
      </c>
    </row>
    <row r="325" spans="1:10" x14ac:dyDescent="0.35">
      <c r="A325" t="s">
        <v>351</v>
      </c>
      <c r="B325" s="2">
        <v>45952</v>
      </c>
      <c r="C325" t="s">
        <v>15</v>
      </c>
      <c r="D325" t="s">
        <v>31</v>
      </c>
      <c r="E325" s="3">
        <v>5134</v>
      </c>
      <c r="F325" t="s">
        <v>12</v>
      </c>
      <c r="G325" t="s">
        <v>13</v>
      </c>
      <c r="H325" s="3">
        <v>6227</v>
      </c>
      <c r="I325" s="3">
        <v>1093</v>
      </c>
      <c r="J325" t="str">
        <f>TEXT(tblExpenses[[#This Row],[Date]],"mmm")</f>
        <v>Oct</v>
      </c>
    </row>
    <row r="326" spans="1:10" x14ac:dyDescent="0.35">
      <c r="A326" t="s">
        <v>352</v>
      </c>
      <c r="B326" s="2">
        <v>45931</v>
      </c>
      <c r="C326" t="s">
        <v>15</v>
      </c>
      <c r="D326" t="s">
        <v>15</v>
      </c>
      <c r="E326" s="3">
        <v>86871</v>
      </c>
      <c r="F326" t="s">
        <v>23</v>
      </c>
      <c r="G326" t="s">
        <v>13</v>
      </c>
      <c r="H326" s="3">
        <v>102372</v>
      </c>
      <c r="I326" s="3">
        <v>15501</v>
      </c>
      <c r="J326" t="str">
        <f>TEXT(tblExpenses[[#This Row],[Date]],"mmm")</f>
        <v>Oct</v>
      </c>
    </row>
    <row r="327" spans="1:10" x14ac:dyDescent="0.35">
      <c r="A327" t="s">
        <v>353</v>
      </c>
      <c r="B327" s="2">
        <v>45932</v>
      </c>
      <c r="C327" t="s">
        <v>15</v>
      </c>
      <c r="D327" t="s">
        <v>33</v>
      </c>
      <c r="E327" s="3">
        <v>19638</v>
      </c>
      <c r="F327" t="s">
        <v>23</v>
      </c>
      <c r="G327" t="s">
        <v>13</v>
      </c>
      <c r="H327" s="3">
        <v>23146</v>
      </c>
      <c r="I327" s="3">
        <v>3508</v>
      </c>
      <c r="J327" t="str">
        <f>TEXT(tblExpenses[[#This Row],[Date]],"mmm")</f>
        <v>Oct</v>
      </c>
    </row>
    <row r="328" spans="1:10" x14ac:dyDescent="0.35">
      <c r="A328" t="s">
        <v>354</v>
      </c>
      <c r="B328" s="2">
        <v>45951</v>
      </c>
      <c r="C328" t="s">
        <v>15</v>
      </c>
      <c r="D328" t="s">
        <v>11</v>
      </c>
      <c r="E328" s="3">
        <v>10261</v>
      </c>
      <c r="F328" t="s">
        <v>23</v>
      </c>
      <c r="G328" t="s">
        <v>13</v>
      </c>
      <c r="H328" s="3">
        <v>13990</v>
      </c>
      <c r="I328" s="3">
        <v>3729</v>
      </c>
      <c r="J328" t="str">
        <f>TEXT(tblExpenses[[#This Row],[Date]],"mmm")</f>
        <v>Oct</v>
      </c>
    </row>
    <row r="329" spans="1:10" x14ac:dyDescent="0.35">
      <c r="A329" t="s">
        <v>355</v>
      </c>
      <c r="B329" s="2">
        <v>45954</v>
      </c>
      <c r="C329" t="s">
        <v>27</v>
      </c>
      <c r="D329" t="s">
        <v>18</v>
      </c>
      <c r="E329" s="3">
        <v>7263</v>
      </c>
      <c r="F329" t="s">
        <v>23</v>
      </c>
      <c r="G329" t="s">
        <v>13</v>
      </c>
      <c r="H329" s="3">
        <v>10544</v>
      </c>
      <c r="I329" s="3">
        <v>3281</v>
      </c>
      <c r="J329" t="str">
        <f>TEXT(tblExpenses[[#This Row],[Date]],"mmm")</f>
        <v>Oct</v>
      </c>
    </row>
    <row r="330" spans="1:10" x14ac:dyDescent="0.35">
      <c r="A330" t="s">
        <v>356</v>
      </c>
      <c r="B330" s="2">
        <v>45954</v>
      </c>
      <c r="C330" t="s">
        <v>27</v>
      </c>
      <c r="D330" t="s">
        <v>31</v>
      </c>
      <c r="E330" s="3">
        <v>1627</v>
      </c>
      <c r="F330" t="s">
        <v>16</v>
      </c>
      <c r="G330" t="s">
        <v>13</v>
      </c>
      <c r="H330" s="3">
        <v>1746</v>
      </c>
      <c r="I330" s="3">
        <v>119</v>
      </c>
      <c r="J330" t="str">
        <f>TEXT(tblExpenses[[#This Row],[Date]],"mmm")</f>
        <v>Oct</v>
      </c>
    </row>
    <row r="331" spans="1:10" x14ac:dyDescent="0.35">
      <c r="A331" t="s">
        <v>357</v>
      </c>
      <c r="B331" s="2">
        <v>45944</v>
      </c>
      <c r="C331" t="s">
        <v>27</v>
      </c>
      <c r="D331" t="s">
        <v>31</v>
      </c>
      <c r="E331" s="3">
        <v>11432</v>
      </c>
      <c r="F331" t="s">
        <v>23</v>
      </c>
      <c r="G331" t="s">
        <v>13</v>
      </c>
      <c r="H331" s="3">
        <v>15715</v>
      </c>
      <c r="I331" s="3">
        <v>4283</v>
      </c>
      <c r="J331" t="str">
        <f>TEXT(tblExpenses[[#This Row],[Date]],"mmm")</f>
        <v>Oct</v>
      </c>
    </row>
    <row r="332" spans="1:10" x14ac:dyDescent="0.35">
      <c r="A332" t="s">
        <v>358</v>
      </c>
      <c r="B332" s="2">
        <v>45956</v>
      </c>
      <c r="C332" t="s">
        <v>27</v>
      </c>
      <c r="D332" t="s">
        <v>11</v>
      </c>
      <c r="E332" s="3">
        <v>30405</v>
      </c>
      <c r="F332" t="s">
        <v>29</v>
      </c>
      <c r="G332" t="s">
        <v>25</v>
      </c>
      <c r="H332" s="3">
        <v>45078</v>
      </c>
      <c r="I332" s="3">
        <v>14673</v>
      </c>
      <c r="J332" t="str">
        <f>TEXT(tblExpenses[[#This Row],[Date]],"mmm")</f>
        <v>Oct</v>
      </c>
    </row>
    <row r="333" spans="1:10" x14ac:dyDescent="0.35">
      <c r="A333" t="s">
        <v>359</v>
      </c>
      <c r="B333" s="2">
        <v>45942</v>
      </c>
      <c r="C333" t="s">
        <v>27</v>
      </c>
      <c r="D333" t="s">
        <v>18</v>
      </c>
      <c r="E333" s="3">
        <v>6187</v>
      </c>
      <c r="F333" t="s">
        <v>23</v>
      </c>
      <c r="G333" t="s">
        <v>13</v>
      </c>
      <c r="H333" s="3">
        <v>8659</v>
      </c>
      <c r="I333" s="3">
        <v>2472</v>
      </c>
      <c r="J333" t="str">
        <f>TEXT(tblExpenses[[#This Row],[Date]],"mmm")</f>
        <v>Oct</v>
      </c>
    </row>
    <row r="334" spans="1:10" x14ac:dyDescent="0.35">
      <c r="A334" t="s">
        <v>360</v>
      </c>
      <c r="B334" s="2">
        <v>45932</v>
      </c>
      <c r="C334" t="s">
        <v>27</v>
      </c>
      <c r="D334" t="s">
        <v>15</v>
      </c>
      <c r="E334" s="3">
        <v>82575</v>
      </c>
      <c r="F334" t="s">
        <v>23</v>
      </c>
      <c r="G334" t="s">
        <v>13</v>
      </c>
      <c r="H334" s="3">
        <v>103283</v>
      </c>
      <c r="I334" s="3">
        <v>20708</v>
      </c>
      <c r="J334" t="str">
        <f>TEXT(tblExpenses[[#This Row],[Date]],"mmm")</f>
        <v>Oct</v>
      </c>
    </row>
    <row r="335" spans="1:10" x14ac:dyDescent="0.35">
      <c r="A335" t="s">
        <v>361</v>
      </c>
      <c r="B335" s="2">
        <v>45944</v>
      </c>
      <c r="C335" t="s">
        <v>38</v>
      </c>
      <c r="D335" t="s">
        <v>22</v>
      </c>
      <c r="E335" s="3">
        <v>32149</v>
      </c>
      <c r="F335" t="s">
        <v>29</v>
      </c>
      <c r="G335" t="s">
        <v>13</v>
      </c>
      <c r="H335" s="3">
        <v>32450</v>
      </c>
      <c r="I335" s="3">
        <v>301</v>
      </c>
      <c r="J335" t="str">
        <f>TEXT(tblExpenses[[#This Row],[Date]],"mmm")</f>
        <v>Oct</v>
      </c>
    </row>
    <row r="336" spans="1:10" x14ac:dyDescent="0.35">
      <c r="A336" t="s">
        <v>362</v>
      </c>
      <c r="B336" s="2">
        <v>45931</v>
      </c>
      <c r="C336" t="s">
        <v>38</v>
      </c>
      <c r="D336" t="s">
        <v>31</v>
      </c>
      <c r="E336" s="3">
        <v>2591</v>
      </c>
      <c r="F336" t="s">
        <v>12</v>
      </c>
      <c r="G336" t="s">
        <v>13</v>
      </c>
      <c r="H336" s="3">
        <v>2878</v>
      </c>
      <c r="I336" s="3">
        <v>287</v>
      </c>
      <c r="J336" t="str">
        <f>TEXT(tblExpenses[[#This Row],[Date]],"mmm")</f>
        <v>Oct</v>
      </c>
    </row>
    <row r="337" spans="1:10" x14ac:dyDescent="0.35">
      <c r="A337" t="s">
        <v>363</v>
      </c>
      <c r="B337" s="2">
        <v>45957</v>
      </c>
      <c r="C337" t="s">
        <v>38</v>
      </c>
      <c r="D337" t="s">
        <v>61</v>
      </c>
      <c r="E337" s="3">
        <v>26860</v>
      </c>
      <c r="F337" t="s">
        <v>23</v>
      </c>
      <c r="G337" t="s">
        <v>25</v>
      </c>
      <c r="H337" s="3">
        <v>36423</v>
      </c>
      <c r="I337" s="3">
        <v>9563</v>
      </c>
      <c r="J337" t="str">
        <f>TEXT(tblExpenses[[#This Row],[Date]],"mmm")</f>
        <v>Oct</v>
      </c>
    </row>
    <row r="338" spans="1:10" x14ac:dyDescent="0.35">
      <c r="A338" t="s">
        <v>364</v>
      </c>
      <c r="B338" s="2">
        <v>45948</v>
      </c>
      <c r="C338" t="s">
        <v>45</v>
      </c>
      <c r="D338" t="s">
        <v>31</v>
      </c>
      <c r="E338" s="3">
        <v>9871</v>
      </c>
      <c r="F338" t="s">
        <v>16</v>
      </c>
      <c r="G338" t="s">
        <v>13</v>
      </c>
      <c r="H338" s="3">
        <v>11791</v>
      </c>
      <c r="I338" s="3">
        <v>1920</v>
      </c>
      <c r="J338" t="str">
        <f>TEXT(tblExpenses[[#This Row],[Date]],"mmm")</f>
        <v>Oct</v>
      </c>
    </row>
    <row r="339" spans="1:10" x14ac:dyDescent="0.35">
      <c r="A339" t="s">
        <v>365</v>
      </c>
      <c r="B339" s="2">
        <v>45945</v>
      </c>
      <c r="C339" t="s">
        <v>45</v>
      </c>
      <c r="D339" t="s">
        <v>31</v>
      </c>
      <c r="E339" s="3">
        <v>14477</v>
      </c>
      <c r="F339" t="s">
        <v>23</v>
      </c>
      <c r="G339" t="s">
        <v>13</v>
      </c>
      <c r="H339" s="3">
        <v>17694</v>
      </c>
      <c r="I339" s="3">
        <v>3217</v>
      </c>
      <c r="J339" t="str">
        <f>TEXT(tblExpenses[[#This Row],[Date]],"mmm")</f>
        <v>Oct</v>
      </c>
    </row>
    <row r="340" spans="1:10" x14ac:dyDescent="0.35">
      <c r="A340" t="s">
        <v>366</v>
      </c>
      <c r="B340" s="2">
        <v>45952</v>
      </c>
      <c r="C340" t="s">
        <v>45</v>
      </c>
      <c r="D340" t="s">
        <v>22</v>
      </c>
      <c r="E340" s="3">
        <v>38514</v>
      </c>
      <c r="F340" t="s">
        <v>16</v>
      </c>
      <c r="G340" t="s">
        <v>13</v>
      </c>
      <c r="H340" s="3">
        <v>46273</v>
      </c>
      <c r="I340" s="3">
        <v>7759</v>
      </c>
      <c r="J340" t="str">
        <f>TEXT(tblExpenses[[#This Row],[Date]],"mmm")</f>
        <v>Oct</v>
      </c>
    </row>
    <row r="341" spans="1:10" x14ac:dyDescent="0.35">
      <c r="A341" t="s">
        <v>367</v>
      </c>
      <c r="B341" s="2">
        <v>45947</v>
      </c>
      <c r="C341" t="s">
        <v>45</v>
      </c>
      <c r="D341" t="s">
        <v>11</v>
      </c>
      <c r="E341" s="3">
        <v>15602</v>
      </c>
      <c r="F341" t="s">
        <v>12</v>
      </c>
      <c r="G341" t="s">
        <v>13</v>
      </c>
      <c r="H341" s="3">
        <v>21437</v>
      </c>
      <c r="I341" s="3">
        <v>5835</v>
      </c>
      <c r="J341" t="str">
        <f>TEXT(tblExpenses[[#This Row],[Date]],"mmm")</f>
        <v>Oct</v>
      </c>
    </row>
    <row r="342" spans="1:10" x14ac:dyDescent="0.35">
      <c r="A342" t="s">
        <v>368</v>
      </c>
      <c r="B342" s="2">
        <v>45935</v>
      </c>
      <c r="C342" t="s">
        <v>45</v>
      </c>
      <c r="D342" t="s">
        <v>20</v>
      </c>
      <c r="E342" s="3">
        <v>186816</v>
      </c>
      <c r="F342" t="s">
        <v>29</v>
      </c>
      <c r="G342" t="s">
        <v>25</v>
      </c>
      <c r="H342" s="3">
        <v>230473</v>
      </c>
      <c r="I342" s="3">
        <v>43657</v>
      </c>
      <c r="J342" t="str">
        <f>TEXT(tblExpenses[[#This Row],[Date]],"mmm")</f>
        <v>Oct</v>
      </c>
    </row>
    <row r="343" spans="1:10" x14ac:dyDescent="0.35">
      <c r="A343" t="s">
        <v>369</v>
      </c>
      <c r="B343" s="2">
        <v>45931</v>
      </c>
      <c r="C343" t="s">
        <v>45</v>
      </c>
      <c r="D343" t="s">
        <v>22</v>
      </c>
      <c r="E343" s="3">
        <v>59446</v>
      </c>
      <c r="F343" t="s">
        <v>12</v>
      </c>
      <c r="G343" t="s">
        <v>25</v>
      </c>
      <c r="H343" s="3">
        <v>89045</v>
      </c>
      <c r="I343" s="3">
        <v>29599</v>
      </c>
      <c r="J343" t="str">
        <f>TEXT(tblExpenses[[#This Row],[Date]],"mmm")</f>
        <v>Oct</v>
      </c>
    </row>
    <row r="344" spans="1:10" x14ac:dyDescent="0.35">
      <c r="A344" t="s">
        <v>370</v>
      </c>
      <c r="B344" s="2">
        <v>45950</v>
      </c>
      <c r="C344" t="s">
        <v>45</v>
      </c>
      <c r="D344" t="s">
        <v>22</v>
      </c>
      <c r="E344" s="3">
        <v>75463</v>
      </c>
      <c r="F344" t="s">
        <v>16</v>
      </c>
      <c r="G344" t="s">
        <v>13</v>
      </c>
      <c r="H344" s="3">
        <v>80432</v>
      </c>
      <c r="I344" s="3">
        <v>4969</v>
      </c>
      <c r="J344" t="str">
        <f>TEXT(tblExpenses[[#This Row],[Date]],"mmm")</f>
        <v>Oct</v>
      </c>
    </row>
    <row r="345" spans="1:10" x14ac:dyDescent="0.35">
      <c r="A345" t="s">
        <v>371</v>
      </c>
      <c r="B345" s="2">
        <v>45958</v>
      </c>
      <c r="C345" t="s">
        <v>54</v>
      </c>
      <c r="D345" t="s">
        <v>11</v>
      </c>
      <c r="E345" s="3">
        <v>39404</v>
      </c>
      <c r="F345" t="s">
        <v>29</v>
      </c>
      <c r="G345" t="s">
        <v>13</v>
      </c>
      <c r="H345" s="3">
        <v>45105</v>
      </c>
      <c r="I345" s="3">
        <v>5701</v>
      </c>
      <c r="J345" t="str">
        <f>TEXT(tblExpenses[[#This Row],[Date]],"mmm")</f>
        <v>Oct</v>
      </c>
    </row>
    <row r="346" spans="1:10" x14ac:dyDescent="0.35">
      <c r="A346" t="s">
        <v>372</v>
      </c>
      <c r="B346" s="2">
        <v>45950</v>
      </c>
      <c r="C346" t="s">
        <v>54</v>
      </c>
      <c r="D346" t="s">
        <v>31</v>
      </c>
      <c r="E346" s="3">
        <v>13308</v>
      </c>
      <c r="F346" t="s">
        <v>12</v>
      </c>
      <c r="G346" t="s">
        <v>13</v>
      </c>
      <c r="H346" s="3">
        <v>14757</v>
      </c>
      <c r="I346" s="3">
        <v>1449</v>
      </c>
      <c r="J346" t="str">
        <f>TEXT(tblExpenses[[#This Row],[Date]],"mmm")</f>
        <v>Oct</v>
      </c>
    </row>
    <row r="347" spans="1:10" x14ac:dyDescent="0.35">
      <c r="A347" t="s">
        <v>373</v>
      </c>
      <c r="B347" s="2">
        <v>45951</v>
      </c>
      <c r="C347" t="s">
        <v>54</v>
      </c>
      <c r="D347" t="s">
        <v>11</v>
      </c>
      <c r="E347" s="3">
        <v>45531</v>
      </c>
      <c r="F347" t="s">
        <v>12</v>
      </c>
      <c r="G347" t="s">
        <v>25</v>
      </c>
      <c r="H347" s="3">
        <v>65673</v>
      </c>
      <c r="I347" s="3">
        <v>20142</v>
      </c>
      <c r="J347" t="str">
        <f>TEXT(tblExpenses[[#This Row],[Date]],"mmm")</f>
        <v>Oct</v>
      </c>
    </row>
    <row r="348" spans="1:10" x14ac:dyDescent="0.35">
      <c r="A348" t="s">
        <v>374</v>
      </c>
      <c r="B348" s="2">
        <v>45946</v>
      </c>
      <c r="C348" t="s">
        <v>54</v>
      </c>
      <c r="D348" t="s">
        <v>22</v>
      </c>
      <c r="E348" s="3">
        <v>34504</v>
      </c>
      <c r="F348" t="s">
        <v>23</v>
      </c>
      <c r="G348" t="s">
        <v>13</v>
      </c>
      <c r="H348" s="3">
        <v>49324</v>
      </c>
      <c r="I348" s="3">
        <v>14820</v>
      </c>
      <c r="J348" t="str">
        <f>TEXT(tblExpenses[[#This Row],[Date]],"mmm")</f>
        <v>Oct</v>
      </c>
    </row>
    <row r="349" spans="1:10" x14ac:dyDescent="0.35">
      <c r="A349" t="s">
        <v>375</v>
      </c>
      <c r="B349" s="2">
        <v>45988</v>
      </c>
      <c r="C349" t="s">
        <v>10</v>
      </c>
      <c r="D349" t="s">
        <v>22</v>
      </c>
      <c r="E349" s="3">
        <v>42802</v>
      </c>
      <c r="F349" t="s">
        <v>12</v>
      </c>
      <c r="G349" t="s">
        <v>13</v>
      </c>
      <c r="H349" s="3">
        <v>42873</v>
      </c>
      <c r="I349" s="3">
        <v>71</v>
      </c>
      <c r="J349" t="str">
        <f>TEXT(tblExpenses[[#This Row],[Date]],"mmm")</f>
        <v>Nov</v>
      </c>
    </row>
    <row r="350" spans="1:10" x14ac:dyDescent="0.35">
      <c r="A350" t="s">
        <v>376</v>
      </c>
      <c r="B350" s="2">
        <v>45975</v>
      </c>
      <c r="C350" t="s">
        <v>10</v>
      </c>
      <c r="D350" t="s">
        <v>11</v>
      </c>
      <c r="E350" s="3">
        <v>27123</v>
      </c>
      <c r="F350" t="s">
        <v>23</v>
      </c>
      <c r="G350" t="s">
        <v>13</v>
      </c>
      <c r="H350" s="3">
        <v>34991</v>
      </c>
      <c r="I350" s="3">
        <v>7868</v>
      </c>
      <c r="J350" t="str">
        <f>TEXT(tblExpenses[[#This Row],[Date]],"mmm")</f>
        <v>Nov</v>
      </c>
    </row>
    <row r="351" spans="1:10" x14ac:dyDescent="0.35">
      <c r="A351" t="s">
        <v>377</v>
      </c>
      <c r="B351" s="2">
        <v>45981</v>
      </c>
      <c r="C351" t="s">
        <v>10</v>
      </c>
      <c r="D351" t="s">
        <v>33</v>
      </c>
      <c r="E351" s="3">
        <v>34385</v>
      </c>
      <c r="F351" t="s">
        <v>16</v>
      </c>
      <c r="G351" t="s">
        <v>25</v>
      </c>
      <c r="H351" s="3">
        <v>36767</v>
      </c>
      <c r="I351" s="3">
        <v>2382</v>
      </c>
      <c r="J351" t="str">
        <f>TEXT(tblExpenses[[#This Row],[Date]],"mmm")</f>
        <v>Nov</v>
      </c>
    </row>
    <row r="352" spans="1:10" x14ac:dyDescent="0.35">
      <c r="A352" t="s">
        <v>378</v>
      </c>
      <c r="B352" s="2">
        <v>45967</v>
      </c>
      <c r="C352" t="s">
        <v>10</v>
      </c>
      <c r="D352" t="s">
        <v>33</v>
      </c>
      <c r="E352" s="3">
        <v>47601</v>
      </c>
      <c r="F352" t="s">
        <v>23</v>
      </c>
      <c r="G352" t="s">
        <v>13</v>
      </c>
      <c r="H352" s="3">
        <v>62115</v>
      </c>
      <c r="I352" s="3">
        <v>14514</v>
      </c>
      <c r="J352" t="str">
        <f>TEXT(tblExpenses[[#This Row],[Date]],"mmm")</f>
        <v>Nov</v>
      </c>
    </row>
    <row r="353" spans="1:10" x14ac:dyDescent="0.35">
      <c r="A353" t="s">
        <v>379</v>
      </c>
      <c r="B353" s="2">
        <v>45968</v>
      </c>
      <c r="C353" t="s">
        <v>15</v>
      </c>
      <c r="D353" t="s">
        <v>22</v>
      </c>
      <c r="E353" s="3">
        <v>77359</v>
      </c>
      <c r="F353" t="s">
        <v>29</v>
      </c>
      <c r="G353" t="s">
        <v>13</v>
      </c>
      <c r="H353" s="3">
        <v>97137</v>
      </c>
      <c r="I353" s="3">
        <v>19778</v>
      </c>
      <c r="J353" t="str">
        <f>TEXT(tblExpenses[[#This Row],[Date]],"mmm")</f>
        <v>Nov</v>
      </c>
    </row>
    <row r="354" spans="1:10" x14ac:dyDescent="0.35">
      <c r="A354" t="s">
        <v>380</v>
      </c>
      <c r="B354" s="2">
        <v>45968</v>
      </c>
      <c r="C354" t="s">
        <v>15</v>
      </c>
      <c r="D354" t="s">
        <v>15</v>
      </c>
      <c r="E354" s="3">
        <v>133776</v>
      </c>
      <c r="F354" t="s">
        <v>12</v>
      </c>
      <c r="G354" t="s">
        <v>13</v>
      </c>
      <c r="H354" s="3">
        <v>196459</v>
      </c>
      <c r="I354" s="3">
        <v>62683</v>
      </c>
      <c r="J354" t="str">
        <f>TEXT(tblExpenses[[#This Row],[Date]],"mmm")</f>
        <v>Nov</v>
      </c>
    </row>
    <row r="355" spans="1:10" x14ac:dyDescent="0.35">
      <c r="A355" t="s">
        <v>381</v>
      </c>
      <c r="B355" s="2">
        <v>45976</v>
      </c>
      <c r="C355" t="s">
        <v>15</v>
      </c>
      <c r="D355" t="s">
        <v>33</v>
      </c>
      <c r="E355" s="3">
        <v>32132</v>
      </c>
      <c r="F355" t="s">
        <v>29</v>
      </c>
      <c r="G355" t="s">
        <v>25</v>
      </c>
      <c r="H355" s="3">
        <v>41412</v>
      </c>
      <c r="I355" s="3">
        <v>9280</v>
      </c>
      <c r="J355" t="str">
        <f>TEXT(tblExpenses[[#This Row],[Date]],"mmm")</f>
        <v>Nov</v>
      </c>
    </row>
    <row r="356" spans="1:10" x14ac:dyDescent="0.35">
      <c r="A356" t="s">
        <v>382</v>
      </c>
      <c r="B356" s="2">
        <v>45965</v>
      </c>
      <c r="C356" t="s">
        <v>15</v>
      </c>
      <c r="D356" t="s">
        <v>15</v>
      </c>
      <c r="E356" s="3">
        <v>130954</v>
      </c>
      <c r="F356" t="s">
        <v>12</v>
      </c>
      <c r="G356" t="s">
        <v>13</v>
      </c>
      <c r="H356" s="3">
        <v>163707</v>
      </c>
      <c r="I356" s="3">
        <v>32753</v>
      </c>
      <c r="J356" t="str">
        <f>TEXT(tblExpenses[[#This Row],[Date]],"mmm")</f>
        <v>Nov</v>
      </c>
    </row>
    <row r="357" spans="1:10" x14ac:dyDescent="0.35">
      <c r="A357" t="s">
        <v>383</v>
      </c>
      <c r="B357" s="2">
        <v>45983</v>
      </c>
      <c r="C357" t="s">
        <v>15</v>
      </c>
      <c r="D357" t="s">
        <v>11</v>
      </c>
      <c r="E357" s="3">
        <v>2451</v>
      </c>
      <c r="F357" t="s">
        <v>23</v>
      </c>
      <c r="G357" t="s">
        <v>25</v>
      </c>
      <c r="H357" s="3">
        <v>3368</v>
      </c>
      <c r="I357" s="3">
        <v>917</v>
      </c>
      <c r="J357" t="str">
        <f>TEXT(tblExpenses[[#This Row],[Date]],"mmm")</f>
        <v>Nov</v>
      </c>
    </row>
    <row r="358" spans="1:10" x14ac:dyDescent="0.35">
      <c r="A358" t="s">
        <v>384</v>
      </c>
      <c r="B358" s="2">
        <v>45984</v>
      </c>
      <c r="C358" t="s">
        <v>15</v>
      </c>
      <c r="D358" t="s">
        <v>11</v>
      </c>
      <c r="E358" s="3">
        <v>29334</v>
      </c>
      <c r="F358" t="s">
        <v>16</v>
      </c>
      <c r="G358" t="s">
        <v>25</v>
      </c>
      <c r="H358" s="3">
        <v>43379</v>
      </c>
      <c r="I358" s="3">
        <v>14045</v>
      </c>
      <c r="J358" t="str">
        <f>TEXT(tblExpenses[[#This Row],[Date]],"mmm")</f>
        <v>Nov</v>
      </c>
    </row>
    <row r="359" spans="1:10" x14ac:dyDescent="0.35">
      <c r="A359" t="s">
        <v>385</v>
      </c>
      <c r="B359" s="2">
        <v>45963</v>
      </c>
      <c r="C359" t="s">
        <v>15</v>
      </c>
      <c r="D359" t="s">
        <v>20</v>
      </c>
      <c r="E359" s="3">
        <v>136040</v>
      </c>
      <c r="F359" t="s">
        <v>12</v>
      </c>
      <c r="G359" t="s">
        <v>13</v>
      </c>
      <c r="H359" s="3">
        <v>192344</v>
      </c>
      <c r="I359" s="3">
        <v>56304</v>
      </c>
      <c r="J359" t="str">
        <f>TEXT(tblExpenses[[#This Row],[Date]],"mmm")</f>
        <v>Nov</v>
      </c>
    </row>
    <row r="360" spans="1:10" x14ac:dyDescent="0.35">
      <c r="A360" t="s">
        <v>386</v>
      </c>
      <c r="B360" s="2">
        <v>45982</v>
      </c>
      <c r="C360" t="s">
        <v>15</v>
      </c>
      <c r="D360" t="s">
        <v>22</v>
      </c>
      <c r="E360" s="3">
        <v>98929</v>
      </c>
      <c r="F360" t="s">
        <v>23</v>
      </c>
      <c r="G360" t="s">
        <v>13</v>
      </c>
      <c r="H360" s="3">
        <v>144802</v>
      </c>
      <c r="I360" s="3">
        <v>45873</v>
      </c>
      <c r="J360" t="str">
        <f>TEXT(tblExpenses[[#This Row],[Date]],"mmm")</f>
        <v>Nov</v>
      </c>
    </row>
    <row r="361" spans="1:10" x14ac:dyDescent="0.35">
      <c r="A361" t="s">
        <v>387</v>
      </c>
      <c r="B361" s="2">
        <v>45986</v>
      </c>
      <c r="C361" t="s">
        <v>27</v>
      </c>
      <c r="D361" t="s">
        <v>61</v>
      </c>
      <c r="E361" s="3">
        <v>27836</v>
      </c>
      <c r="F361" t="s">
        <v>16</v>
      </c>
      <c r="G361" t="s">
        <v>13</v>
      </c>
      <c r="H361" s="3">
        <v>39322</v>
      </c>
      <c r="I361" s="3">
        <v>11486</v>
      </c>
      <c r="J361" t="str">
        <f>TEXT(tblExpenses[[#This Row],[Date]],"mmm")</f>
        <v>Nov</v>
      </c>
    </row>
    <row r="362" spans="1:10" x14ac:dyDescent="0.35">
      <c r="A362" t="s">
        <v>388</v>
      </c>
      <c r="B362" s="2">
        <v>45987</v>
      </c>
      <c r="C362" t="s">
        <v>27</v>
      </c>
      <c r="D362" t="s">
        <v>31</v>
      </c>
      <c r="E362" s="3">
        <v>3325</v>
      </c>
      <c r="F362" t="s">
        <v>23</v>
      </c>
      <c r="G362" t="s">
        <v>13</v>
      </c>
      <c r="H362" s="3">
        <v>4843</v>
      </c>
      <c r="I362" s="3">
        <v>1518</v>
      </c>
      <c r="J362" t="str">
        <f>TEXT(tblExpenses[[#This Row],[Date]],"mmm")</f>
        <v>Nov</v>
      </c>
    </row>
    <row r="363" spans="1:10" x14ac:dyDescent="0.35">
      <c r="A363" t="s">
        <v>389</v>
      </c>
      <c r="B363" s="2">
        <v>45976</v>
      </c>
      <c r="C363" t="s">
        <v>27</v>
      </c>
      <c r="D363" t="s">
        <v>31</v>
      </c>
      <c r="E363" s="3">
        <v>11519</v>
      </c>
      <c r="F363" t="s">
        <v>23</v>
      </c>
      <c r="G363" t="s">
        <v>13</v>
      </c>
      <c r="H363" s="3">
        <v>15514</v>
      </c>
      <c r="I363" s="3">
        <v>3995</v>
      </c>
      <c r="J363" t="str">
        <f>TEXT(tblExpenses[[#This Row],[Date]],"mmm")</f>
        <v>Nov</v>
      </c>
    </row>
    <row r="364" spans="1:10" x14ac:dyDescent="0.35">
      <c r="A364" t="s">
        <v>390</v>
      </c>
      <c r="B364" s="2">
        <v>45987</v>
      </c>
      <c r="C364" t="s">
        <v>27</v>
      </c>
      <c r="D364" t="s">
        <v>61</v>
      </c>
      <c r="E364" s="3">
        <v>25583</v>
      </c>
      <c r="F364" t="s">
        <v>23</v>
      </c>
      <c r="G364" t="s">
        <v>13</v>
      </c>
      <c r="H364" s="3">
        <v>31271</v>
      </c>
      <c r="I364" s="3">
        <v>5688</v>
      </c>
      <c r="J364" t="str">
        <f>TEXT(tblExpenses[[#This Row],[Date]],"mmm")</f>
        <v>Nov</v>
      </c>
    </row>
    <row r="365" spans="1:10" x14ac:dyDescent="0.35">
      <c r="A365" t="s">
        <v>391</v>
      </c>
      <c r="B365" s="2">
        <v>45971</v>
      </c>
      <c r="C365" t="s">
        <v>38</v>
      </c>
      <c r="D365" t="s">
        <v>33</v>
      </c>
      <c r="E365" s="3">
        <v>23352</v>
      </c>
      <c r="F365" t="s">
        <v>16</v>
      </c>
      <c r="G365" t="s">
        <v>13</v>
      </c>
      <c r="H365" s="3">
        <v>25080</v>
      </c>
      <c r="I365" s="3">
        <v>1728</v>
      </c>
      <c r="J365" t="str">
        <f>TEXT(tblExpenses[[#This Row],[Date]],"mmm")</f>
        <v>Nov</v>
      </c>
    </row>
    <row r="366" spans="1:10" x14ac:dyDescent="0.35">
      <c r="A366" t="s">
        <v>392</v>
      </c>
      <c r="B366" s="2">
        <v>45984</v>
      </c>
      <c r="C366" t="s">
        <v>38</v>
      </c>
      <c r="D366" t="s">
        <v>31</v>
      </c>
      <c r="E366" s="3">
        <v>12694</v>
      </c>
      <c r="F366" t="s">
        <v>29</v>
      </c>
      <c r="G366" t="s">
        <v>25</v>
      </c>
      <c r="H366" s="3">
        <v>14542</v>
      </c>
      <c r="I366" s="3">
        <v>1848</v>
      </c>
      <c r="J366" t="str">
        <f>TEXT(tblExpenses[[#This Row],[Date]],"mmm")</f>
        <v>Nov</v>
      </c>
    </row>
    <row r="367" spans="1:10" x14ac:dyDescent="0.35">
      <c r="A367" t="s">
        <v>393</v>
      </c>
      <c r="B367" s="2">
        <v>45985</v>
      </c>
      <c r="C367" t="s">
        <v>38</v>
      </c>
      <c r="D367" t="s">
        <v>20</v>
      </c>
      <c r="E367" s="3">
        <v>186495</v>
      </c>
      <c r="F367" t="s">
        <v>29</v>
      </c>
      <c r="G367" t="s">
        <v>13</v>
      </c>
      <c r="H367" s="3">
        <v>213992</v>
      </c>
      <c r="I367" s="3">
        <v>27497</v>
      </c>
      <c r="J367" t="str">
        <f>TEXT(tblExpenses[[#This Row],[Date]],"mmm")</f>
        <v>Nov</v>
      </c>
    </row>
    <row r="368" spans="1:10" x14ac:dyDescent="0.35">
      <c r="A368" t="s">
        <v>394</v>
      </c>
      <c r="B368" s="2">
        <v>45962</v>
      </c>
      <c r="C368" t="s">
        <v>38</v>
      </c>
      <c r="D368" t="s">
        <v>22</v>
      </c>
      <c r="E368" s="3">
        <v>38725</v>
      </c>
      <c r="F368" t="s">
        <v>29</v>
      </c>
      <c r="G368" t="s">
        <v>25</v>
      </c>
      <c r="H368" s="3">
        <v>51054</v>
      </c>
      <c r="I368" s="3">
        <v>12329</v>
      </c>
      <c r="J368" t="str">
        <f>TEXT(tblExpenses[[#This Row],[Date]],"mmm")</f>
        <v>Nov</v>
      </c>
    </row>
    <row r="369" spans="1:10" x14ac:dyDescent="0.35">
      <c r="A369" t="s">
        <v>395</v>
      </c>
      <c r="B369" s="2">
        <v>45978</v>
      </c>
      <c r="C369" t="s">
        <v>38</v>
      </c>
      <c r="D369" t="s">
        <v>33</v>
      </c>
      <c r="E369" s="3">
        <v>39002</v>
      </c>
      <c r="F369" t="s">
        <v>23</v>
      </c>
      <c r="G369" t="s">
        <v>13</v>
      </c>
      <c r="H369" s="3">
        <v>46104</v>
      </c>
      <c r="I369" s="3">
        <v>7102</v>
      </c>
      <c r="J369" t="str">
        <f>TEXT(tblExpenses[[#This Row],[Date]],"mmm")</f>
        <v>Nov</v>
      </c>
    </row>
    <row r="370" spans="1:10" x14ac:dyDescent="0.35">
      <c r="A370" t="s">
        <v>396</v>
      </c>
      <c r="B370" s="2">
        <v>45989</v>
      </c>
      <c r="C370" t="s">
        <v>38</v>
      </c>
      <c r="D370" t="s">
        <v>31</v>
      </c>
      <c r="E370" s="3">
        <v>11548</v>
      </c>
      <c r="F370" t="s">
        <v>12</v>
      </c>
      <c r="G370" t="s">
        <v>25</v>
      </c>
      <c r="H370" s="3">
        <v>12448</v>
      </c>
      <c r="I370" s="3">
        <v>900</v>
      </c>
      <c r="J370" t="str">
        <f>TEXT(tblExpenses[[#This Row],[Date]],"mmm")</f>
        <v>Nov</v>
      </c>
    </row>
    <row r="371" spans="1:10" x14ac:dyDescent="0.35">
      <c r="A371" t="s">
        <v>397</v>
      </c>
      <c r="B371" s="2">
        <v>45978</v>
      </c>
      <c r="C371" t="s">
        <v>38</v>
      </c>
      <c r="D371" t="s">
        <v>20</v>
      </c>
      <c r="E371" s="3">
        <v>179968</v>
      </c>
      <c r="F371" t="s">
        <v>23</v>
      </c>
      <c r="G371" t="s">
        <v>13</v>
      </c>
      <c r="H371" s="3">
        <v>195186</v>
      </c>
      <c r="I371" s="3">
        <v>15218</v>
      </c>
      <c r="J371" t="str">
        <f>TEXT(tblExpenses[[#This Row],[Date]],"mmm")</f>
        <v>Nov</v>
      </c>
    </row>
    <row r="372" spans="1:10" x14ac:dyDescent="0.35">
      <c r="A372" t="s">
        <v>398</v>
      </c>
      <c r="B372" s="2">
        <v>45968</v>
      </c>
      <c r="C372" t="s">
        <v>45</v>
      </c>
      <c r="D372" t="s">
        <v>11</v>
      </c>
      <c r="E372" s="3">
        <v>24437</v>
      </c>
      <c r="F372" t="s">
        <v>29</v>
      </c>
      <c r="G372" t="s">
        <v>13</v>
      </c>
      <c r="H372" s="3">
        <v>27184</v>
      </c>
      <c r="I372" s="3">
        <v>2747</v>
      </c>
      <c r="J372" t="str">
        <f>TEXT(tblExpenses[[#This Row],[Date]],"mmm")</f>
        <v>Nov</v>
      </c>
    </row>
    <row r="373" spans="1:10" x14ac:dyDescent="0.35">
      <c r="A373" t="s">
        <v>399</v>
      </c>
      <c r="B373" s="2">
        <v>45977</v>
      </c>
      <c r="C373" t="s">
        <v>45</v>
      </c>
      <c r="D373" t="s">
        <v>11</v>
      </c>
      <c r="E373" s="3">
        <v>44598</v>
      </c>
      <c r="F373" t="s">
        <v>23</v>
      </c>
      <c r="G373" t="s">
        <v>25</v>
      </c>
      <c r="H373" s="3">
        <v>48990</v>
      </c>
      <c r="I373" s="3">
        <v>4392</v>
      </c>
      <c r="J373" t="str">
        <f>TEXT(tblExpenses[[#This Row],[Date]],"mmm")</f>
        <v>Nov</v>
      </c>
    </row>
    <row r="374" spans="1:10" x14ac:dyDescent="0.35">
      <c r="A374" t="s">
        <v>400</v>
      </c>
      <c r="B374" s="2">
        <v>45983</v>
      </c>
      <c r="C374" t="s">
        <v>45</v>
      </c>
      <c r="D374" t="s">
        <v>18</v>
      </c>
      <c r="E374" s="3">
        <v>6573</v>
      </c>
      <c r="F374" t="s">
        <v>16</v>
      </c>
      <c r="G374" t="s">
        <v>13</v>
      </c>
      <c r="H374" s="3">
        <v>7239</v>
      </c>
      <c r="I374" s="3">
        <v>666</v>
      </c>
      <c r="J374" t="str">
        <f>TEXT(tblExpenses[[#This Row],[Date]],"mmm")</f>
        <v>Nov</v>
      </c>
    </row>
    <row r="375" spans="1:10" x14ac:dyDescent="0.35">
      <c r="A375" t="s">
        <v>401</v>
      </c>
      <c r="B375" s="2">
        <v>45979</v>
      </c>
      <c r="C375" t="s">
        <v>54</v>
      </c>
      <c r="D375" t="s">
        <v>11</v>
      </c>
      <c r="E375" s="3">
        <v>19791</v>
      </c>
      <c r="F375" t="s">
        <v>16</v>
      </c>
      <c r="G375" t="s">
        <v>13</v>
      </c>
      <c r="H375" s="3">
        <v>25266</v>
      </c>
      <c r="I375" s="3">
        <v>5475</v>
      </c>
      <c r="J375" t="str">
        <f>TEXT(tblExpenses[[#This Row],[Date]],"mmm")</f>
        <v>Nov</v>
      </c>
    </row>
    <row r="376" spans="1:10" x14ac:dyDescent="0.35">
      <c r="A376" t="s">
        <v>402</v>
      </c>
      <c r="B376" s="2">
        <v>45985</v>
      </c>
      <c r="C376" t="s">
        <v>54</v>
      </c>
      <c r="D376" t="s">
        <v>18</v>
      </c>
      <c r="E376" s="3">
        <v>2504</v>
      </c>
      <c r="F376" t="s">
        <v>29</v>
      </c>
      <c r="G376" t="s">
        <v>13</v>
      </c>
      <c r="H376" s="3">
        <v>2825</v>
      </c>
      <c r="I376" s="3">
        <v>321</v>
      </c>
      <c r="J376" t="str">
        <f>TEXT(tblExpenses[[#This Row],[Date]],"mmm")</f>
        <v>Nov</v>
      </c>
    </row>
    <row r="377" spans="1:10" x14ac:dyDescent="0.35">
      <c r="A377" t="s">
        <v>403</v>
      </c>
      <c r="B377" s="2">
        <v>45970</v>
      </c>
      <c r="C377" t="s">
        <v>54</v>
      </c>
      <c r="D377" t="s">
        <v>15</v>
      </c>
      <c r="E377" s="3">
        <v>20546</v>
      </c>
      <c r="F377" t="s">
        <v>12</v>
      </c>
      <c r="G377" t="s">
        <v>13</v>
      </c>
      <c r="H377" s="3">
        <v>30607</v>
      </c>
      <c r="I377" s="3">
        <v>10061</v>
      </c>
      <c r="J377" t="str">
        <f>TEXT(tblExpenses[[#This Row],[Date]],"mmm")</f>
        <v>Nov</v>
      </c>
    </row>
    <row r="378" spans="1:10" x14ac:dyDescent="0.35">
      <c r="A378" t="s">
        <v>404</v>
      </c>
      <c r="B378" s="2">
        <v>45968</v>
      </c>
      <c r="C378" t="s">
        <v>54</v>
      </c>
      <c r="D378" t="s">
        <v>15</v>
      </c>
      <c r="E378" s="3">
        <v>146985</v>
      </c>
      <c r="F378" t="s">
        <v>29</v>
      </c>
      <c r="G378" t="s">
        <v>13</v>
      </c>
      <c r="H378" s="3">
        <v>169236</v>
      </c>
      <c r="I378" s="3">
        <v>22251</v>
      </c>
      <c r="J378" t="str">
        <f>TEXT(tblExpenses[[#This Row],[Date]],"mmm")</f>
        <v>Nov</v>
      </c>
    </row>
    <row r="379" spans="1:10" x14ac:dyDescent="0.35">
      <c r="A379" t="s">
        <v>405</v>
      </c>
      <c r="B379" s="2">
        <v>45987</v>
      </c>
      <c r="C379" t="s">
        <v>54</v>
      </c>
      <c r="D379" t="s">
        <v>20</v>
      </c>
      <c r="E379" s="3">
        <v>131705</v>
      </c>
      <c r="F379" t="s">
        <v>16</v>
      </c>
      <c r="G379" t="s">
        <v>13</v>
      </c>
      <c r="H379" s="3">
        <v>138176</v>
      </c>
      <c r="I379" s="3">
        <v>6471</v>
      </c>
      <c r="J379" t="str">
        <f>TEXT(tblExpenses[[#This Row],[Date]],"mmm")</f>
        <v>Nov</v>
      </c>
    </row>
    <row r="380" spans="1:10" x14ac:dyDescent="0.35">
      <c r="A380" t="s">
        <v>406</v>
      </c>
      <c r="B380" s="2">
        <v>45977</v>
      </c>
      <c r="C380" t="s">
        <v>54</v>
      </c>
      <c r="D380" t="s">
        <v>20</v>
      </c>
      <c r="E380" s="3">
        <v>40515</v>
      </c>
      <c r="F380" t="s">
        <v>29</v>
      </c>
      <c r="G380" t="s">
        <v>13</v>
      </c>
      <c r="H380" s="3">
        <v>49467</v>
      </c>
      <c r="I380" s="3">
        <v>8952</v>
      </c>
      <c r="J380" t="str">
        <f>TEXT(tblExpenses[[#This Row],[Date]],"mmm")</f>
        <v>Nov</v>
      </c>
    </row>
    <row r="381" spans="1:10" x14ac:dyDescent="0.35">
      <c r="A381" t="s">
        <v>407</v>
      </c>
      <c r="B381" s="2">
        <v>45980</v>
      </c>
      <c r="C381" t="s">
        <v>54</v>
      </c>
      <c r="D381" t="s">
        <v>18</v>
      </c>
      <c r="E381" s="3">
        <v>5401</v>
      </c>
      <c r="F381" t="s">
        <v>16</v>
      </c>
      <c r="G381" t="s">
        <v>25</v>
      </c>
      <c r="H381" s="3">
        <v>6717</v>
      </c>
      <c r="I381" s="3">
        <v>1316</v>
      </c>
      <c r="J381" t="str">
        <f>TEXT(tblExpenses[[#This Row],[Date]],"mmm")</f>
        <v>Nov</v>
      </c>
    </row>
    <row r="382" spans="1:10" x14ac:dyDescent="0.35">
      <c r="A382" t="s">
        <v>408</v>
      </c>
      <c r="B382" s="2">
        <v>46017</v>
      </c>
      <c r="C382" t="s">
        <v>10</v>
      </c>
      <c r="D382" t="s">
        <v>20</v>
      </c>
      <c r="E382" s="3">
        <v>178460</v>
      </c>
      <c r="F382" t="s">
        <v>23</v>
      </c>
      <c r="G382" t="s">
        <v>13</v>
      </c>
      <c r="H382" s="3">
        <v>195842</v>
      </c>
      <c r="I382" s="3">
        <v>17382</v>
      </c>
      <c r="J382" t="str">
        <f>TEXT(tblExpenses[[#This Row],[Date]],"mmm")</f>
        <v>Dec</v>
      </c>
    </row>
    <row r="383" spans="1:10" x14ac:dyDescent="0.35">
      <c r="A383" t="s">
        <v>409</v>
      </c>
      <c r="B383" s="2">
        <v>46002</v>
      </c>
      <c r="C383" t="s">
        <v>10</v>
      </c>
      <c r="D383" t="s">
        <v>61</v>
      </c>
      <c r="E383" s="3">
        <v>19141</v>
      </c>
      <c r="F383" t="s">
        <v>23</v>
      </c>
      <c r="G383" t="s">
        <v>25</v>
      </c>
      <c r="H383" s="3">
        <v>25181</v>
      </c>
      <c r="I383" s="3">
        <v>6040</v>
      </c>
      <c r="J383" t="str">
        <f>TEXT(tblExpenses[[#This Row],[Date]],"mmm")</f>
        <v>Dec</v>
      </c>
    </row>
    <row r="384" spans="1:10" x14ac:dyDescent="0.35">
      <c r="A384" t="s">
        <v>410</v>
      </c>
      <c r="B384" s="2">
        <v>45999</v>
      </c>
      <c r="C384" t="s">
        <v>10</v>
      </c>
      <c r="D384" t="s">
        <v>61</v>
      </c>
      <c r="E384" s="3">
        <v>11657</v>
      </c>
      <c r="F384" t="s">
        <v>12</v>
      </c>
      <c r="G384" t="s">
        <v>13</v>
      </c>
      <c r="H384" s="3">
        <v>16712</v>
      </c>
      <c r="I384" s="3">
        <v>5055</v>
      </c>
      <c r="J384" t="str">
        <f>TEXT(tblExpenses[[#This Row],[Date]],"mmm")</f>
        <v>Dec</v>
      </c>
    </row>
    <row r="385" spans="1:10" x14ac:dyDescent="0.35">
      <c r="A385" t="s">
        <v>411</v>
      </c>
      <c r="B385" s="2">
        <v>46016</v>
      </c>
      <c r="C385" t="s">
        <v>10</v>
      </c>
      <c r="D385" t="s">
        <v>61</v>
      </c>
      <c r="E385" s="3">
        <v>23510</v>
      </c>
      <c r="F385" t="s">
        <v>29</v>
      </c>
      <c r="G385" t="s">
        <v>13</v>
      </c>
      <c r="H385" s="3">
        <v>28683</v>
      </c>
      <c r="I385" s="3">
        <v>5173</v>
      </c>
      <c r="J385" t="str">
        <f>TEXT(tblExpenses[[#This Row],[Date]],"mmm")</f>
        <v>Dec</v>
      </c>
    </row>
    <row r="386" spans="1:10" x14ac:dyDescent="0.35">
      <c r="A386" t="s">
        <v>412</v>
      </c>
      <c r="B386" s="2">
        <v>45994</v>
      </c>
      <c r="C386" t="s">
        <v>10</v>
      </c>
      <c r="D386" t="s">
        <v>20</v>
      </c>
      <c r="E386" s="3">
        <v>139967</v>
      </c>
      <c r="F386" t="s">
        <v>23</v>
      </c>
      <c r="G386" t="s">
        <v>13</v>
      </c>
      <c r="H386" s="3">
        <v>151383</v>
      </c>
      <c r="I386" s="3">
        <v>11416</v>
      </c>
      <c r="J386" t="str">
        <f>TEXT(tblExpenses[[#This Row],[Date]],"mmm")</f>
        <v>Dec</v>
      </c>
    </row>
    <row r="387" spans="1:10" x14ac:dyDescent="0.35">
      <c r="A387" t="s">
        <v>413</v>
      </c>
      <c r="B387" s="2">
        <v>46018</v>
      </c>
      <c r="C387" t="s">
        <v>10</v>
      </c>
      <c r="D387" t="s">
        <v>31</v>
      </c>
      <c r="E387" s="3">
        <v>11451</v>
      </c>
      <c r="F387" t="s">
        <v>29</v>
      </c>
      <c r="G387" t="s">
        <v>13</v>
      </c>
      <c r="H387" s="3">
        <v>15384</v>
      </c>
      <c r="I387" s="3">
        <v>3933</v>
      </c>
      <c r="J387" t="str">
        <f>TEXT(tblExpenses[[#This Row],[Date]],"mmm")</f>
        <v>Dec</v>
      </c>
    </row>
    <row r="388" spans="1:10" x14ac:dyDescent="0.35">
      <c r="A388" t="s">
        <v>414</v>
      </c>
      <c r="B388" s="2">
        <v>46002</v>
      </c>
      <c r="C388" t="s">
        <v>10</v>
      </c>
      <c r="D388" t="s">
        <v>18</v>
      </c>
      <c r="E388" s="3">
        <v>3016</v>
      </c>
      <c r="F388" t="s">
        <v>23</v>
      </c>
      <c r="G388" t="s">
        <v>13</v>
      </c>
      <c r="H388" s="3">
        <v>3773</v>
      </c>
      <c r="I388" s="3">
        <v>757</v>
      </c>
      <c r="J388" t="str">
        <f>TEXT(tblExpenses[[#This Row],[Date]],"mmm")</f>
        <v>Dec</v>
      </c>
    </row>
    <row r="389" spans="1:10" x14ac:dyDescent="0.35">
      <c r="A389" t="s">
        <v>415</v>
      </c>
      <c r="B389" s="2">
        <v>46002</v>
      </c>
      <c r="C389" t="s">
        <v>10</v>
      </c>
      <c r="D389" t="s">
        <v>18</v>
      </c>
      <c r="E389" s="3">
        <v>5177</v>
      </c>
      <c r="F389" t="s">
        <v>29</v>
      </c>
      <c r="G389" t="s">
        <v>13</v>
      </c>
      <c r="H389" s="3">
        <v>6916</v>
      </c>
      <c r="I389" s="3">
        <v>1739</v>
      </c>
      <c r="J389" t="str">
        <f>TEXT(tblExpenses[[#This Row],[Date]],"mmm")</f>
        <v>Dec</v>
      </c>
    </row>
    <row r="390" spans="1:10" x14ac:dyDescent="0.35">
      <c r="A390" t="s">
        <v>416</v>
      </c>
      <c r="B390" s="2">
        <v>46007</v>
      </c>
      <c r="C390" t="s">
        <v>15</v>
      </c>
      <c r="D390" t="s">
        <v>15</v>
      </c>
      <c r="E390" s="3">
        <v>95375</v>
      </c>
      <c r="F390" t="s">
        <v>23</v>
      </c>
      <c r="G390" t="s">
        <v>13</v>
      </c>
      <c r="H390" s="3">
        <v>140998</v>
      </c>
      <c r="I390" s="3">
        <v>45623</v>
      </c>
      <c r="J390" t="str">
        <f>TEXT(tblExpenses[[#This Row],[Date]],"mmm")</f>
        <v>Dec</v>
      </c>
    </row>
    <row r="391" spans="1:10" x14ac:dyDescent="0.35">
      <c r="A391" t="s">
        <v>417</v>
      </c>
      <c r="B391" s="2">
        <v>46001</v>
      </c>
      <c r="C391" t="s">
        <v>15</v>
      </c>
      <c r="D391" t="s">
        <v>20</v>
      </c>
      <c r="E391" s="3">
        <v>89591</v>
      </c>
      <c r="F391" t="s">
        <v>12</v>
      </c>
      <c r="G391" t="s">
        <v>13</v>
      </c>
      <c r="H391" s="3">
        <v>106201</v>
      </c>
      <c r="I391" s="3">
        <v>16610</v>
      </c>
      <c r="J391" t="str">
        <f>TEXT(tblExpenses[[#This Row],[Date]],"mmm")</f>
        <v>Dec</v>
      </c>
    </row>
    <row r="392" spans="1:10" x14ac:dyDescent="0.35">
      <c r="A392" t="s">
        <v>418</v>
      </c>
      <c r="B392" s="2">
        <v>46016</v>
      </c>
      <c r="C392" t="s">
        <v>15</v>
      </c>
      <c r="D392" t="s">
        <v>61</v>
      </c>
      <c r="E392" s="3">
        <v>16936</v>
      </c>
      <c r="F392" t="s">
        <v>23</v>
      </c>
      <c r="G392" t="s">
        <v>13</v>
      </c>
      <c r="H392" s="3">
        <v>21706</v>
      </c>
      <c r="I392" s="3">
        <v>4770</v>
      </c>
      <c r="J392" t="str">
        <f>TEXT(tblExpenses[[#This Row],[Date]],"mmm")</f>
        <v>Dec</v>
      </c>
    </row>
    <row r="393" spans="1:10" x14ac:dyDescent="0.35">
      <c r="A393" t="s">
        <v>419</v>
      </c>
      <c r="B393" s="2">
        <v>45996</v>
      </c>
      <c r="C393" t="s">
        <v>15</v>
      </c>
      <c r="D393" t="s">
        <v>22</v>
      </c>
      <c r="E393" s="3">
        <v>51348</v>
      </c>
      <c r="F393" t="s">
        <v>23</v>
      </c>
      <c r="G393" t="s">
        <v>13</v>
      </c>
      <c r="H393" s="3">
        <v>67928</v>
      </c>
      <c r="I393" s="3">
        <v>16580</v>
      </c>
      <c r="J393" t="str">
        <f>TEXT(tblExpenses[[#This Row],[Date]],"mmm")</f>
        <v>Dec</v>
      </c>
    </row>
    <row r="394" spans="1:10" x14ac:dyDescent="0.35">
      <c r="A394" t="s">
        <v>420</v>
      </c>
      <c r="B394" s="2">
        <v>45992</v>
      </c>
      <c r="C394" t="s">
        <v>27</v>
      </c>
      <c r="D394" t="s">
        <v>61</v>
      </c>
      <c r="E394" s="3">
        <v>12659</v>
      </c>
      <c r="F394" t="s">
        <v>12</v>
      </c>
      <c r="G394" t="s">
        <v>13</v>
      </c>
      <c r="H394" s="3">
        <v>17929</v>
      </c>
      <c r="I394" s="3">
        <v>5270</v>
      </c>
      <c r="J394" t="str">
        <f>TEXT(tblExpenses[[#This Row],[Date]],"mmm")</f>
        <v>Dec</v>
      </c>
    </row>
    <row r="395" spans="1:10" x14ac:dyDescent="0.35">
      <c r="A395" t="s">
        <v>421</v>
      </c>
      <c r="B395" s="2">
        <v>46008</v>
      </c>
      <c r="C395" t="s">
        <v>27</v>
      </c>
      <c r="D395" t="s">
        <v>18</v>
      </c>
      <c r="E395" s="3">
        <v>7032</v>
      </c>
      <c r="F395" t="s">
        <v>23</v>
      </c>
      <c r="G395" t="s">
        <v>13</v>
      </c>
      <c r="H395" s="3">
        <v>7788</v>
      </c>
      <c r="I395" s="3">
        <v>756</v>
      </c>
      <c r="J395" t="str">
        <f>TEXT(tblExpenses[[#This Row],[Date]],"mmm")</f>
        <v>Dec</v>
      </c>
    </row>
    <row r="396" spans="1:10" x14ac:dyDescent="0.35">
      <c r="A396" t="s">
        <v>422</v>
      </c>
      <c r="B396" s="2">
        <v>46007</v>
      </c>
      <c r="C396" t="s">
        <v>27</v>
      </c>
      <c r="D396" t="s">
        <v>18</v>
      </c>
      <c r="E396" s="3">
        <v>1814</v>
      </c>
      <c r="F396" t="s">
        <v>23</v>
      </c>
      <c r="G396" t="s">
        <v>13</v>
      </c>
      <c r="H396" s="3">
        <v>2109</v>
      </c>
      <c r="I396" s="3">
        <v>295</v>
      </c>
      <c r="J396" t="str">
        <f>TEXT(tblExpenses[[#This Row],[Date]],"mmm")</f>
        <v>Dec</v>
      </c>
    </row>
    <row r="397" spans="1:10" x14ac:dyDescent="0.35">
      <c r="A397" t="s">
        <v>423</v>
      </c>
      <c r="B397" s="2">
        <v>46010</v>
      </c>
      <c r="C397" t="s">
        <v>27</v>
      </c>
      <c r="D397" t="s">
        <v>18</v>
      </c>
      <c r="E397" s="3">
        <v>2794</v>
      </c>
      <c r="F397" t="s">
        <v>23</v>
      </c>
      <c r="G397" t="s">
        <v>13</v>
      </c>
      <c r="H397" s="3">
        <v>4173</v>
      </c>
      <c r="I397" s="3">
        <v>1379</v>
      </c>
      <c r="J397" t="str">
        <f>TEXT(tblExpenses[[#This Row],[Date]],"mmm")</f>
        <v>Dec</v>
      </c>
    </row>
    <row r="398" spans="1:10" x14ac:dyDescent="0.35">
      <c r="A398" t="s">
        <v>424</v>
      </c>
      <c r="B398" s="2">
        <v>46006</v>
      </c>
      <c r="C398" t="s">
        <v>38</v>
      </c>
      <c r="D398" t="s">
        <v>31</v>
      </c>
      <c r="E398" s="3">
        <v>5522</v>
      </c>
      <c r="F398" t="s">
        <v>12</v>
      </c>
      <c r="G398" t="s">
        <v>13</v>
      </c>
      <c r="H398" s="3">
        <v>7007</v>
      </c>
      <c r="I398" s="3">
        <v>1485</v>
      </c>
      <c r="J398" t="str">
        <f>TEXT(tblExpenses[[#This Row],[Date]],"mmm")</f>
        <v>Dec</v>
      </c>
    </row>
    <row r="399" spans="1:10" x14ac:dyDescent="0.35">
      <c r="A399" t="s">
        <v>425</v>
      </c>
      <c r="B399" s="2">
        <v>46015</v>
      </c>
      <c r="C399" t="s">
        <v>38</v>
      </c>
      <c r="D399" t="s">
        <v>11</v>
      </c>
      <c r="E399" s="3">
        <v>23269</v>
      </c>
      <c r="F399" t="s">
        <v>23</v>
      </c>
      <c r="G399" t="s">
        <v>13</v>
      </c>
      <c r="H399" s="3">
        <v>34638</v>
      </c>
      <c r="I399" s="3">
        <v>11369</v>
      </c>
      <c r="J399" t="str">
        <f>TEXT(tblExpenses[[#This Row],[Date]],"mmm")</f>
        <v>Dec</v>
      </c>
    </row>
    <row r="400" spans="1:10" x14ac:dyDescent="0.35">
      <c r="A400" t="s">
        <v>426</v>
      </c>
      <c r="B400" s="2">
        <v>45994</v>
      </c>
      <c r="C400" t="s">
        <v>38</v>
      </c>
      <c r="D400" t="s">
        <v>61</v>
      </c>
      <c r="E400" s="3">
        <v>21811</v>
      </c>
      <c r="F400" t="s">
        <v>23</v>
      </c>
      <c r="G400" t="s">
        <v>13</v>
      </c>
      <c r="H400" s="3">
        <v>23992</v>
      </c>
      <c r="I400" s="3">
        <v>2181</v>
      </c>
      <c r="J400" t="str">
        <f>TEXT(tblExpenses[[#This Row],[Date]],"mmm")</f>
        <v>Dec</v>
      </c>
    </row>
    <row r="401" spans="1:10" x14ac:dyDescent="0.35">
      <c r="A401" t="s">
        <v>427</v>
      </c>
      <c r="B401" s="2">
        <v>46001</v>
      </c>
      <c r="C401" t="s">
        <v>38</v>
      </c>
      <c r="D401" t="s">
        <v>61</v>
      </c>
      <c r="E401" s="3">
        <v>21241</v>
      </c>
      <c r="F401" t="s">
        <v>16</v>
      </c>
      <c r="G401" t="s">
        <v>13</v>
      </c>
      <c r="H401" s="3">
        <v>26881</v>
      </c>
      <c r="I401" s="3">
        <v>5640</v>
      </c>
      <c r="J401" t="str">
        <f>TEXT(tblExpenses[[#This Row],[Date]],"mmm")</f>
        <v>Dec</v>
      </c>
    </row>
    <row r="402" spans="1:10" x14ac:dyDescent="0.35">
      <c r="A402" t="s">
        <v>428</v>
      </c>
      <c r="B402" s="2">
        <v>45998</v>
      </c>
      <c r="C402" t="s">
        <v>38</v>
      </c>
      <c r="D402" t="s">
        <v>31</v>
      </c>
      <c r="E402" s="3">
        <v>13659</v>
      </c>
      <c r="F402" t="s">
        <v>29</v>
      </c>
      <c r="G402" t="s">
        <v>13</v>
      </c>
      <c r="H402" s="3">
        <v>16704</v>
      </c>
      <c r="I402" s="3">
        <v>3045</v>
      </c>
      <c r="J402" t="str">
        <f>TEXT(tblExpenses[[#This Row],[Date]],"mmm")</f>
        <v>Dec</v>
      </c>
    </row>
    <row r="403" spans="1:10" x14ac:dyDescent="0.35">
      <c r="A403" t="s">
        <v>429</v>
      </c>
      <c r="B403" s="2">
        <v>46013</v>
      </c>
      <c r="C403" t="s">
        <v>38</v>
      </c>
      <c r="D403" t="s">
        <v>20</v>
      </c>
      <c r="E403" s="3">
        <v>104949</v>
      </c>
      <c r="F403" t="s">
        <v>12</v>
      </c>
      <c r="G403" t="s">
        <v>13</v>
      </c>
      <c r="H403" s="3">
        <v>122424</v>
      </c>
      <c r="I403" s="3">
        <v>17475</v>
      </c>
      <c r="J403" t="str">
        <f>TEXT(tblExpenses[[#This Row],[Date]],"mmm")</f>
        <v>Dec</v>
      </c>
    </row>
    <row r="404" spans="1:10" x14ac:dyDescent="0.35">
      <c r="A404" t="s">
        <v>430</v>
      </c>
      <c r="B404" s="2">
        <v>46005</v>
      </c>
      <c r="C404" t="s">
        <v>38</v>
      </c>
      <c r="D404" t="s">
        <v>15</v>
      </c>
      <c r="E404" s="3">
        <v>41245</v>
      </c>
      <c r="F404" t="s">
        <v>23</v>
      </c>
      <c r="G404" t="s">
        <v>13</v>
      </c>
      <c r="H404" s="3">
        <v>54490</v>
      </c>
      <c r="I404" s="3">
        <v>13245</v>
      </c>
      <c r="J404" t="str">
        <f>TEXT(tblExpenses[[#This Row],[Date]],"mmm")</f>
        <v>Dec</v>
      </c>
    </row>
    <row r="405" spans="1:10" x14ac:dyDescent="0.35">
      <c r="A405" t="s">
        <v>431</v>
      </c>
      <c r="B405" s="2">
        <v>46010</v>
      </c>
      <c r="C405" t="s">
        <v>38</v>
      </c>
      <c r="D405" t="s">
        <v>33</v>
      </c>
      <c r="E405" s="3">
        <v>72143</v>
      </c>
      <c r="F405" t="s">
        <v>23</v>
      </c>
      <c r="G405" t="s">
        <v>13</v>
      </c>
      <c r="H405" s="3">
        <v>85615</v>
      </c>
      <c r="I405" s="3">
        <v>13472</v>
      </c>
      <c r="J405" t="str">
        <f>TEXT(tblExpenses[[#This Row],[Date]],"mmm")</f>
        <v>Dec</v>
      </c>
    </row>
    <row r="406" spans="1:10" x14ac:dyDescent="0.35">
      <c r="A406" t="s">
        <v>432</v>
      </c>
      <c r="B406" s="2">
        <v>46012</v>
      </c>
      <c r="C406" t="s">
        <v>45</v>
      </c>
      <c r="D406" t="s">
        <v>20</v>
      </c>
      <c r="E406" s="3">
        <v>84094</v>
      </c>
      <c r="F406" t="s">
        <v>16</v>
      </c>
      <c r="G406" t="s">
        <v>13</v>
      </c>
      <c r="H406" s="3">
        <v>108263</v>
      </c>
      <c r="I406" s="3">
        <v>24169</v>
      </c>
      <c r="J406" t="str">
        <f>TEXT(tblExpenses[[#This Row],[Date]],"mmm")</f>
        <v>Dec</v>
      </c>
    </row>
    <row r="407" spans="1:10" x14ac:dyDescent="0.35">
      <c r="A407" t="s">
        <v>433</v>
      </c>
      <c r="B407" s="2">
        <v>46008</v>
      </c>
      <c r="C407" t="s">
        <v>45</v>
      </c>
      <c r="D407" t="s">
        <v>11</v>
      </c>
      <c r="E407" s="3">
        <v>36849</v>
      </c>
      <c r="F407" t="s">
        <v>16</v>
      </c>
      <c r="G407" t="s">
        <v>25</v>
      </c>
      <c r="H407" s="3">
        <v>39764</v>
      </c>
      <c r="I407" s="3">
        <v>2915</v>
      </c>
      <c r="J407" t="str">
        <f>TEXT(tblExpenses[[#This Row],[Date]],"mmm")</f>
        <v>Dec</v>
      </c>
    </row>
    <row r="408" spans="1:10" x14ac:dyDescent="0.35">
      <c r="A408" t="s">
        <v>434</v>
      </c>
      <c r="B408" s="2">
        <v>46013</v>
      </c>
      <c r="C408" t="s">
        <v>45</v>
      </c>
      <c r="D408" t="s">
        <v>18</v>
      </c>
      <c r="E408" s="3">
        <v>6659</v>
      </c>
      <c r="F408" t="s">
        <v>23</v>
      </c>
      <c r="G408" t="s">
        <v>13</v>
      </c>
      <c r="H408" s="3">
        <v>6902</v>
      </c>
      <c r="I408" s="3">
        <v>243</v>
      </c>
      <c r="J408" t="str">
        <f>TEXT(tblExpenses[[#This Row],[Date]],"mmm")</f>
        <v>Dec</v>
      </c>
    </row>
    <row r="409" spans="1:10" x14ac:dyDescent="0.35">
      <c r="A409" t="s">
        <v>435</v>
      </c>
      <c r="B409" s="2">
        <v>46012</v>
      </c>
      <c r="C409" t="s">
        <v>45</v>
      </c>
      <c r="D409" t="s">
        <v>15</v>
      </c>
      <c r="E409" s="3">
        <v>96620</v>
      </c>
      <c r="F409" t="s">
        <v>12</v>
      </c>
      <c r="G409" t="s">
        <v>13</v>
      </c>
      <c r="H409" s="3">
        <v>100148</v>
      </c>
      <c r="I409" s="3">
        <v>3528</v>
      </c>
      <c r="J409" t="str">
        <f>TEXT(tblExpenses[[#This Row],[Date]],"mmm")</f>
        <v>Dec</v>
      </c>
    </row>
    <row r="410" spans="1:10" x14ac:dyDescent="0.35">
      <c r="A410" t="s">
        <v>436</v>
      </c>
      <c r="B410" s="2">
        <v>45992</v>
      </c>
      <c r="C410" t="s">
        <v>45</v>
      </c>
      <c r="D410" t="s">
        <v>33</v>
      </c>
      <c r="E410" s="3">
        <v>57620</v>
      </c>
      <c r="F410" t="s">
        <v>23</v>
      </c>
      <c r="G410" t="s">
        <v>13</v>
      </c>
      <c r="H410" s="3">
        <v>74178</v>
      </c>
      <c r="I410" s="3">
        <v>16558</v>
      </c>
      <c r="J410" t="str">
        <f>TEXT(tblExpenses[[#This Row],[Date]],"mmm")</f>
        <v>Dec</v>
      </c>
    </row>
    <row r="411" spans="1:10" x14ac:dyDescent="0.35">
      <c r="A411" t="s">
        <v>437</v>
      </c>
      <c r="B411" s="2">
        <v>46019</v>
      </c>
      <c r="C411" t="s">
        <v>45</v>
      </c>
      <c r="D411" t="s">
        <v>31</v>
      </c>
      <c r="E411" s="3">
        <v>7998</v>
      </c>
      <c r="F411" t="s">
        <v>29</v>
      </c>
      <c r="G411" t="s">
        <v>25</v>
      </c>
      <c r="H411" s="3">
        <v>8600</v>
      </c>
      <c r="I411" s="3">
        <v>602</v>
      </c>
      <c r="J411" t="str">
        <f>TEXT(tblExpenses[[#This Row],[Date]],"mmm")</f>
        <v>Dec</v>
      </c>
    </row>
    <row r="412" spans="1:10" x14ac:dyDescent="0.35">
      <c r="A412" t="s">
        <v>438</v>
      </c>
      <c r="B412" s="2">
        <v>46016</v>
      </c>
      <c r="C412" t="s">
        <v>45</v>
      </c>
      <c r="D412" t="s">
        <v>20</v>
      </c>
      <c r="E412" s="3">
        <v>181340</v>
      </c>
      <c r="F412" t="s">
        <v>12</v>
      </c>
      <c r="G412" t="s">
        <v>25</v>
      </c>
      <c r="H412" s="3">
        <v>241672</v>
      </c>
      <c r="I412" s="3">
        <v>60332</v>
      </c>
      <c r="J412" t="str">
        <f>TEXT(tblExpenses[[#This Row],[Date]],"mmm")</f>
        <v>Dec</v>
      </c>
    </row>
    <row r="413" spans="1:10" x14ac:dyDescent="0.35">
      <c r="A413" t="s">
        <v>439</v>
      </c>
      <c r="B413" s="2">
        <v>45992</v>
      </c>
      <c r="C413" t="s">
        <v>54</v>
      </c>
      <c r="D413" t="s">
        <v>18</v>
      </c>
      <c r="E413" s="3">
        <v>3027</v>
      </c>
      <c r="F413" t="s">
        <v>16</v>
      </c>
      <c r="G413" t="s">
        <v>13</v>
      </c>
      <c r="H413" s="3">
        <v>3302</v>
      </c>
      <c r="I413" s="3">
        <v>275</v>
      </c>
      <c r="J413" t="str">
        <f>TEXT(tblExpenses[[#This Row],[Date]],"mmm")</f>
        <v>Dec</v>
      </c>
    </row>
    <row r="414" spans="1:10" x14ac:dyDescent="0.35">
      <c r="A414" t="s">
        <v>440</v>
      </c>
      <c r="B414" s="2">
        <v>45999</v>
      </c>
      <c r="C414" t="s">
        <v>54</v>
      </c>
      <c r="D414" t="s">
        <v>11</v>
      </c>
      <c r="E414" s="3">
        <v>23460</v>
      </c>
      <c r="F414" t="s">
        <v>29</v>
      </c>
      <c r="G414" t="s">
        <v>13</v>
      </c>
      <c r="H414" s="3">
        <v>33672</v>
      </c>
      <c r="I414" s="3">
        <v>10212</v>
      </c>
      <c r="J414" t="str">
        <f>TEXT(tblExpenses[[#This Row],[Date]],"mmm")</f>
        <v>Dec</v>
      </c>
    </row>
    <row r="415" spans="1:10" x14ac:dyDescent="0.35">
      <c r="A415" t="s">
        <v>441</v>
      </c>
      <c r="B415" s="2">
        <v>45998</v>
      </c>
      <c r="C415" t="s">
        <v>54</v>
      </c>
      <c r="D415" t="s">
        <v>22</v>
      </c>
      <c r="E415" s="3">
        <v>40530</v>
      </c>
      <c r="F415" t="s">
        <v>12</v>
      </c>
      <c r="G415" t="s">
        <v>13</v>
      </c>
      <c r="H415" s="3">
        <v>45251</v>
      </c>
      <c r="I415" s="3">
        <v>4721</v>
      </c>
      <c r="J415" t="str">
        <f>TEXT(tblExpenses[[#This Row],[Date]],"mmm")</f>
        <v>Dec</v>
      </c>
    </row>
    <row r="416" spans="1:10" x14ac:dyDescent="0.35">
      <c r="A416" t="s">
        <v>442</v>
      </c>
      <c r="B416" s="2">
        <v>46019</v>
      </c>
      <c r="C416" t="s">
        <v>54</v>
      </c>
      <c r="D416" t="s">
        <v>11</v>
      </c>
      <c r="E416" s="3">
        <v>26583</v>
      </c>
      <c r="F416" t="s">
        <v>29</v>
      </c>
      <c r="G416" t="s">
        <v>13</v>
      </c>
      <c r="H416" s="3">
        <v>26921</v>
      </c>
      <c r="I416" s="3">
        <v>338</v>
      </c>
      <c r="J416" t="str">
        <f>TEXT(tblExpenses[[#This Row],[Date]],"mmm")</f>
        <v>Dec</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48A77-D41F-41F8-A896-D66BD2025E6D}">
  <dimension ref="A3:P62"/>
  <sheetViews>
    <sheetView workbookViewId="0"/>
  </sheetViews>
  <sheetFormatPr defaultRowHeight="14.5" x14ac:dyDescent="0.35"/>
  <cols>
    <col min="1" max="1" width="13.08984375" bestFit="1" customWidth="1"/>
    <col min="2" max="2" width="18.1796875" bestFit="1" customWidth="1"/>
    <col min="4" max="4" width="12.90625" bestFit="1" customWidth="1"/>
    <col min="5" max="5" width="18.1796875" bestFit="1" customWidth="1"/>
    <col min="6" max="6" width="21.36328125" bestFit="1" customWidth="1"/>
    <col min="7" max="7" width="10.36328125" bestFit="1" customWidth="1"/>
    <col min="8" max="8" width="18.1796875" bestFit="1" customWidth="1"/>
    <col min="10" max="10" width="11" bestFit="1" customWidth="1"/>
    <col min="11" max="11" width="18.36328125" bestFit="1" customWidth="1"/>
    <col min="12" max="12" width="17.6328125" bestFit="1" customWidth="1"/>
    <col min="13" max="13" width="18.1796875" bestFit="1" customWidth="1"/>
    <col min="14" max="14" width="21.36328125" bestFit="1" customWidth="1"/>
    <col min="15" max="15" width="22.26953125" bestFit="1" customWidth="1"/>
    <col min="16" max="16" width="17.6328125" bestFit="1" customWidth="1"/>
  </cols>
  <sheetData>
    <row r="3" spans="1:16" x14ac:dyDescent="0.35">
      <c r="A3" s="7" t="s">
        <v>2</v>
      </c>
      <c r="B3" s="8" t="s">
        <v>445</v>
      </c>
      <c r="D3" s="7" t="s">
        <v>3</v>
      </c>
      <c r="E3" s="8" t="s">
        <v>445</v>
      </c>
      <c r="G3" s="7" t="s">
        <v>443</v>
      </c>
      <c r="H3" s="8" t="s">
        <v>445</v>
      </c>
      <c r="J3" s="6" t="s">
        <v>6</v>
      </c>
      <c r="K3" t="s">
        <v>445</v>
      </c>
      <c r="L3" t="s">
        <v>458</v>
      </c>
      <c r="M3" s="8" t="s">
        <v>445</v>
      </c>
      <c r="N3" s="8" t="s">
        <v>459</v>
      </c>
      <c r="O3" s="8" t="s">
        <v>460</v>
      </c>
      <c r="P3" s="8" t="s">
        <v>458</v>
      </c>
    </row>
    <row r="4" spans="1:16" x14ac:dyDescent="0.35">
      <c r="A4" s="8" t="s">
        <v>10</v>
      </c>
      <c r="B4" s="9">
        <v>3366315</v>
      </c>
      <c r="D4" s="8" t="s">
        <v>20</v>
      </c>
      <c r="E4" s="9">
        <v>6030171</v>
      </c>
      <c r="G4" s="8" t="s">
        <v>446</v>
      </c>
      <c r="H4" s="9">
        <v>1379978</v>
      </c>
      <c r="J4" t="s">
        <v>25</v>
      </c>
      <c r="K4" s="3">
        <v>3628179</v>
      </c>
      <c r="L4" s="11">
        <v>77</v>
      </c>
      <c r="M4" s="9">
        <v>18405183</v>
      </c>
      <c r="N4" s="9">
        <v>22953950</v>
      </c>
      <c r="O4" s="9">
        <v>4548767</v>
      </c>
      <c r="P4" s="12">
        <v>415</v>
      </c>
    </row>
    <row r="5" spans="1:16" x14ac:dyDescent="0.35">
      <c r="A5" s="8" t="s">
        <v>45</v>
      </c>
      <c r="B5" s="9">
        <v>2611075</v>
      </c>
      <c r="D5" s="8" t="s">
        <v>22</v>
      </c>
      <c r="E5" s="9">
        <v>3671418</v>
      </c>
      <c r="G5" s="8" t="s">
        <v>447</v>
      </c>
      <c r="H5" s="9">
        <v>1058599</v>
      </c>
      <c r="J5" t="s">
        <v>13</v>
      </c>
      <c r="K5" s="3">
        <v>14777004</v>
      </c>
      <c r="L5" s="11">
        <v>338</v>
      </c>
    </row>
    <row r="6" spans="1:16" x14ac:dyDescent="0.35">
      <c r="A6" s="8" t="s">
        <v>38</v>
      </c>
      <c r="B6" s="9">
        <v>3616924</v>
      </c>
      <c r="D6" s="8" t="s">
        <v>15</v>
      </c>
      <c r="E6" s="9">
        <v>3505155</v>
      </c>
      <c r="G6" s="8" t="s">
        <v>448</v>
      </c>
      <c r="H6" s="9">
        <v>1179601</v>
      </c>
      <c r="J6" t="s">
        <v>444</v>
      </c>
      <c r="K6" s="3">
        <v>18405183</v>
      </c>
      <c r="L6" s="10">
        <v>415</v>
      </c>
    </row>
    <row r="7" spans="1:16" x14ac:dyDescent="0.35">
      <c r="A7" s="8" t="s">
        <v>15</v>
      </c>
      <c r="B7" s="9">
        <v>3010276</v>
      </c>
      <c r="D7" s="8" t="s">
        <v>18</v>
      </c>
      <c r="E7" s="9">
        <v>208093</v>
      </c>
      <c r="G7" s="8" t="s">
        <v>449</v>
      </c>
      <c r="H7" s="9">
        <v>1317668</v>
      </c>
    </row>
    <row r="8" spans="1:16" x14ac:dyDescent="0.35">
      <c r="A8" s="8" t="s">
        <v>54</v>
      </c>
      <c r="B8" s="9">
        <v>3346621</v>
      </c>
      <c r="D8" s="8" t="s">
        <v>11</v>
      </c>
      <c r="E8" s="9">
        <v>1743238</v>
      </c>
      <c r="G8" s="8" t="s">
        <v>450</v>
      </c>
      <c r="H8" s="9">
        <v>1780658</v>
      </c>
    </row>
    <row r="9" spans="1:16" x14ac:dyDescent="0.35">
      <c r="A9" s="8" t="s">
        <v>27</v>
      </c>
      <c r="B9" s="9">
        <v>2453972</v>
      </c>
      <c r="D9" s="8" t="s">
        <v>61</v>
      </c>
      <c r="E9" s="9">
        <v>772840</v>
      </c>
      <c r="G9" s="8" t="s">
        <v>451</v>
      </c>
      <c r="H9" s="9">
        <v>1286080</v>
      </c>
    </row>
    <row r="10" spans="1:16" x14ac:dyDescent="0.35">
      <c r="A10" s="8" t="s">
        <v>444</v>
      </c>
      <c r="B10" s="9">
        <v>18405183</v>
      </c>
      <c r="D10" s="8" t="s">
        <v>33</v>
      </c>
      <c r="E10" s="9">
        <v>2023948</v>
      </c>
      <c r="G10" s="8" t="s">
        <v>452</v>
      </c>
      <c r="H10" s="9">
        <v>2119404</v>
      </c>
    </row>
    <row r="11" spans="1:16" x14ac:dyDescent="0.35">
      <c r="D11" s="8" t="s">
        <v>31</v>
      </c>
      <c r="E11" s="9">
        <v>450320</v>
      </c>
      <c r="G11" s="8" t="s">
        <v>453</v>
      </c>
      <c r="H11" s="9">
        <v>1669539</v>
      </c>
    </row>
    <row r="12" spans="1:16" x14ac:dyDescent="0.35">
      <c r="D12" s="8" t="s">
        <v>444</v>
      </c>
      <c r="E12" s="9">
        <v>18405183</v>
      </c>
      <c r="G12" s="8" t="s">
        <v>454</v>
      </c>
      <c r="H12" s="9">
        <v>1913484</v>
      </c>
    </row>
    <row r="13" spans="1:16" x14ac:dyDescent="0.35">
      <c r="G13" s="8" t="s">
        <v>455</v>
      </c>
      <c r="H13" s="9">
        <v>1365637</v>
      </c>
    </row>
    <row r="14" spans="1:16" x14ac:dyDescent="0.35">
      <c r="G14" s="8" t="s">
        <v>456</v>
      </c>
      <c r="H14" s="9">
        <v>1795988</v>
      </c>
    </row>
    <row r="15" spans="1:16" x14ac:dyDescent="0.35">
      <c r="G15" s="8" t="s">
        <v>457</v>
      </c>
      <c r="H15" s="9">
        <v>1538547</v>
      </c>
    </row>
    <row r="16" spans="1:16" x14ac:dyDescent="0.35">
      <c r="G16" s="8" t="s">
        <v>444</v>
      </c>
      <c r="H16" s="9">
        <v>18405183</v>
      </c>
    </row>
    <row r="25" spans="1:6" x14ac:dyDescent="0.35">
      <c r="A25" s="7" t="s">
        <v>5</v>
      </c>
      <c r="B25" s="8" t="s">
        <v>445</v>
      </c>
      <c r="D25" s="7" t="s">
        <v>2</v>
      </c>
      <c r="E25" s="8" t="s">
        <v>461</v>
      </c>
      <c r="F25" s="8" t="s">
        <v>459</v>
      </c>
    </row>
    <row r="26" spans="1:6" x14ac:dyDescent="0.35">
      <c r="A26" s="8" t="s">
        <v>29</v>
      </c>
      <c r="B26" s="9">
        <v>4908988</v>
      </c>
      <c r="D26" s="8" t="s">
        <v>10</v>
      </c>
      <c r="E26" s="9">
        <v>3366315</v>
      </c>
      <c r="F26" s="9">
        <v>4162201</v>
      </c>
    </row>
    <row r="27" spans="1:6" x14ac:dyDescent="0.35">
      <c r="A27" s="8" t="s">
        <v>12</v>
      </c>
      <c r="B27" s="9">
        <v>4388835</v>
      </c>
      <c r="D27" s="8" t="s">
        <v>45</v>
      </c>
      <c r="E27" s="9">
        <v>2611075</v>
      </c>
      <c r="F27" s="9">
        <v>3159110</v>
      </c>
    </row>
    <row r="28" spans="1:6" x14ac:dyDescent="0.35">
      <c r="A28" s="8" t="s">
        <v>23</v>
      </c>
      <c r="B28" s="9">
        <v>5477461</v>
      </c>
      <c r="D28" s="8" t="s">
        <v>38</v>
      </c>
      <c r="E28" s="9">
        <v>3616924</v>
      </c>
      <c r="F28" s="9">
        <v>4425089</v>
      </c>
    </row>
    <row r="29" spans="1:6" x14ac:dyDescent="0.35">
      <c r="A29" s="8" t="s">
        <v>16</v>
      </c>
      <c r="B29" s="9">
        <v>3629899</v>
      </c>
      <c r="D29" s="8" t="s">
        <v>15</v>
      </c>
      <c r="E29" s="9">
        <v>3010276</v>
      </c>
      <c r="F29" s="9">
        <v>3898633</v>
      </c>
    </row>
    <row r="30" spans="1:6" x14ac:dyDescent="0.35">
      <c r="A30" s="8" t="s">
        <v>444</v>
      </c>
      <c r="B30" s="9">
        <v>18405183</v>
      </c>
      <c r="D30" s="8" t="s">
        <v>54</v>
      </c>
      <c r="E30" s="9">
        <v>3346621</v>
      </c>
      <c r="F30" s="9">
        <v>4160632</v>
      </c>
    </row>
    <row r="31" spans="1:6" x14ac:dyDescent="0.35">
      <c r="D31" s="8" t="s">
        <v>27</v>
      </c>
      <c r="E31" s="9">
        <v>2453972</v>
      </c>
      <c r="F31" s="9">
        <v>3148285</v>
      </c>
    </row>
    <row r="32" spans="1:6" x14ac:dyDescent="0.35">
      <c r="D32" s="8" t="s">
        <v>444</v>
      </c>
      <c r="E32" s="9">
        <v>18405183</v>
      </c>
      <c r="F32" s="9">
        <v>22953950</v>
      </c>
    </row>
    <row r="50" spans="1:15" x14ac:dyDescent="0.35">
      <c r="A50" t="s">
        <v>2</v>
      </c>
      <c r="B50" t="s">
        <v>462</v>
      </c>
      <c r="D50" t="s">
        <v>3</v>
      </c>
      <c r="E50" t="s">
        <v>462</v>
      </c>
      <c r="G50" t="s">
        <v>443</v>
      </c>
      <c r="H50" t="s">
        <v>462</v>
      </c>
      <c r="J50" t="s">
        <v>5</v>
      </c>
      <c r="K50" t="s">
        <v>462</v>
      </c>
      <c r="M50" t="s">
        <v>2</v>
      </c>
      <c r="N50" t="s">
        <v>461</v>
      </c>
      <c r="O50" t="s">
        <v>7</v>
      </c>
    </row>
    <row r="51" spans="1:15" x14ac:dyDescent="0.35">
      <c r="A51" t="str">
        <f>Pivot!$A$4</f>
        <v>Engineering</v>
      </c>
      <c r="B51" s="3">
        <f>Pivot!$B$4</f>
        <v>3366315</v>
      </c>
      <c r="D51" t="str">
        <f>Pivot!$D$4</f>
        <v>Consulting</v>
      </c>
      <c r="E51" s="3">
        <f>Pivot!$E$4</f>
        <v>6030171</v>
      </c>
      <c r="G51" t="str">
        <f>Pivot!$G$4</f>
        <v>Jan</v>
      </c>
      <c r="H51" s="3">
        <f>Pivot!$H$4</f>
        <v>1379978</v>
      </c>
      <c r="J51" t="str">
        <f>Pivot!$A$26</f>
        <v>Bank Transfer</v>
      </c>
      <c r="K51" s="3">
        <f>Pivot!$B$26</f>
        <v>4908988</v>
      </c>
      <c r="M51" t="str">
        <f>Pivot!$D$26</f>
        <v>Engineering</v>
      </c>
      <c r="N51" s="3">
        <f>Pivot!$E$26</f>
        <v>3366315</v>
      </c>
      <c r="O51" s="3">
        <f>Pivot!$F$26</f>
        <v>4162201</v>
      </c>
    </row>
    <row r="52" spans="1:15" x14ac:dyDescent="0.35">
      <c r="A52" t="str">
        <f>Pivot!$A$5</f>
        <v>Finance</v>
      </c>
      <c r="B52" s="3">
        <f>Pivot!$B$5</f>
        <v>2611075</v>
      </c>
      <c r="D52" t="str">
        <f>Pivot!$D$5</f>
        <v>Equipment</v>
      </c>
      <c r="E52" s="3">
        <f>Pivot!$E$5</f>
        <v>3671418</v>
      </c>
      <c r="G52" t="str">
        <f>Pivot!$G$5</f>
        <v>Feb</v>
      </c>
      <c r="H52" s="3">
        <f>Pivot!$H$5</f>
        <v>1058599</v>
      </c>
      <c r="J52" t="str">
        <f>Pivot!$A$27</f>
        <v>Cash</v>
      </c>
      <c r="K52" s="3">
        <f>Pivot!$B$27</f>
        <v>4388835</v>
      </c>
      <c r="M52" t="str">
        <f>Pivot!$D$27</f>
        <v>Finance</v>
      </c>
      <c r="N52" s="3">
        <f>Pivot!$E$27</f>
        <v>2611075</v>
      </c>
      <c r="O52" s="3">
        <f>Pivot!$F$27</f>
        <v>3159110</v>
      </c>
    </row>
    <row r="53" spans="1:15" x14ac:dyDescent="0.35">
      <c r="A53" t="str">
        <f>Pivot!$A$6</f>
        <v>HR</v>
      </c>
      <c r="B53" s="3">
        <f>Pivot!$B$6</f>
        <v>3616924</v>
      </c>
      <c r="D53" t="str">
        <f>Pivot!$D$6</f>
        <v>Marketing</v>
      </c>
      <c r="E53" s="3">
        <f>Pivot!$E$6</f>
        <v>3505155</v>
      </c>
      <c r="G53" t="str">
        <f>Pivot!$G$6</f>
        <v>Mar</v>
      </c>
      <c r="H53" s="3">
        <f>Pivot!$H$6</f>
        <v>1179601</v>
      </c>
      <c r="J53" t="str">
        <f>Pivot!$A$28</f>
        <v>Cheque</v>
      </c>
      <c r="K53" s="3">
        <f>Pivot!$B$28</f>
        <v>5477461</v>
      </c>
      <c r="M53" t="str">
        <f>Pivot!$D$28</f>
        <v>HR</v>
      </c>
      <c r="N53" s="3">
        <f>Pivot!$E$28</f>
        <v>3616924</v>
      </c>
      <c r="O53" s="3">
        <f>Pivot!$F$28</f>
        <v>4425089</v>
      </c>
    </row>
    <row r="54" spans="1:15" x14ac:dyDescent="0.35">
      <c r="A54" t="str">
        <f>Pivot!$A$7</f>
        <v>Marketing</v>
      </c>
      <c r="B54" s="3">
        <f>Pivot!$B$7</f>
        <v>3010276</v>
      </c>
      <c r="D54" t="str">
        <f>Pivot!$D$7</f>
        <v>Office Supplies</v>
      </c>
      <c r="E54" s="3">
        <f>Pivot!$E$7</f>
        <v>208093</v>
      </c>
      <c r="G54" t="str">
        <f>Pivot!$G$7</f>
        <v>Apr</v>
      </c>
      <c r="H54" s="3">
        <f>Pivot!$H$7</f>
        <v>1317668</v>
      </c>
      <c r="J54" t="str">
        <f>Pivot!$A$29</f>
        <v>Credit Card</v>
      </c>
      <c r="K54" s="3">
        <f>Pivot!$B$29</f>
        <v>3629899</v>
      </c>
      <c r="M54" t="str">
        <f>Pivot!$D$29</f>
        <v>Marketing</v>
      </c>
      <c r="N54" s="3">
        <f>Pivot!$E$29</f>
        <v>3010276</v>
      </c>
      <c r="O54" s="3">
        <f>Pivot!$F$29</f>
        <v>3898633</v>
      </c>
    </row>
    <row r="55" spans="1:15" x14ac:dyDescent="0.35">
      <c r="A55" t="str">
        <f>Pivot!$A$8</f>
        <v>Operations</v>
      </c>
      <c r="B55" s="3">
        <f>Pivot!$B$8</f>
        <v>3346621</v>
      </c>
      <c r="D55" t="str">
        <f>Pivot!$D$8</f>
        <v>Software</v>
      </c>
      <c r="E55" s="3">
        <f>Pivot!$E$8</f>
        <v>1743238</v>
      </c>
      <c r="G55" t="str">
        <f>Pivot!$G$8</f>
        <v>May</v>
      </c>
      <c r="H55" s="3">
        <f>Pivot!$H$8</f>
        <v>1780658</v>
      </c>
      <c r="M55" t="str">
        <f>Pivot!$D$30</f>
        <v>Operations</v>
      </c>
      <c r="N55" s="3">
        <f>Pivot!$E$30</f>
        <v>3346621</v>
      </c>
      <c r="O55" s="3">
        <f>Pivot!$F$30</f>
        <v>4160632</v>
      </c>
    </row>
    <row r="56" spans="1:15" x14ac:dyDescent="0.35">
      <c r="A56" t="str">
        <f>Pivot!$A$9</f>
        <v>Sales</v>
      </c>
      <c r="B56" s="3">
        <f>Pivot!$B$9</f>
        <v>2453972</v>
      </c>
      <c r="D56" t="str">
        <f>Pivot!$D$9</f>
        <v>Training</v>
      </c>
      <c r="E56" s="3">
        <f>Pivot!$E$9</f>
        <v>772840</v>
      </c>
      <c r="G56" t="str">
        <f>Pivot!$G$9</f>
        <v>Jun</v>
      </c>
      <c r="H56" s="3">
        <f>Pivot!$H$9</f>
        <v>1286080</v>
      </c>
      <c r="M56" t="str">
        <f>Pivot!$D$31</f>
        <v>Sales</v>
      </c>
      <c r="N56" s="3">
        <f>Pivot!$E$31</f>
        <v>2453972</v>
      </c>
      <c r="O56" s="3">
        <f>Pivot!$F$31</f>
        <v>3148285</v>
      </c>
    </row>
    <row r="57" spans="1:15" x14ac:dyDescent="0.35">
      <c r="D57" t="str">
        <f>Pivot!$D$10</f>
        <v>Travel</v>
      </c>
      <c r="E57" s="3">
        <f>Pivot!$E$10</f>
        <v>2023948</v>
      </c>
      <c r="G57" t="str">
        <f>Pivot!$G$10</f>
        <v>Jul</v>
      </c>
      <c r="H57" s="3">
        <f>Pivot!$H$10</f>
        <v>2119404</v>
      </c>
    </row>
    <row r="58" spans="1:15" x14ac:dyDescent="0.35">
      <c r="D58" t="str">
        <f>Pivot!$D$11</f>
        <v>Utilities</v>
      </c>
      <c r="E58" s="3">
        <f>Pivot!$E$11</f>
        <v>450320</v>
      </c>
      <c r="G58" t="str">
        <f>Pivot!$G$11</f>
        <v>Aug</v>
      </c>
      <c r="H58" s="3">
        <f>Pivot!$H$11</f>
        <v>1669539</v>
      </c>
    </row>
    <row r="59" spans="1:15" x14ac:dyDescent="0.35">
      <c r="G59" t="str">
        <f>Pivot!$G$12</f>
        <v>Sep</v>
      </c>
      <c r="H59" s="3">
        <f>Pivot!$H$12</f>
        <v>1913484</v>
      </c>
    </row>
    <row r="60" spans="1:15" x14ac:dyDescent="0.35">
      <c r="G60" t="str">
        <f>Pivot!$G$13</f>
        <v>Oct</v>
      </c>
      <c r="H60" s="3">
        <f>Pivot!$H$13</f>
        <v>1365637</v>
      </c>
    </row>
    <row r="61" spans="1:15" x14ac:dyDescent="0.35">
      <c r="G61" t="str">
        <f>Pivot!$G$14</f>
        <v>Nov</v>
      </c>
      <c r="H61" s="3">
        <f>Pivot!$H$14</f>
        <v>1795988</v>
      </c>
    </row>
    <row r="62" spans="1:15" x14ac:dyDescent="0.35">
      <c r="G62" t="str">
        <f>Pivot!$G$15</f>
        <v>Dec</v>
      </c>
      <c r="H62" s="3">
        <f>Pivot!$H$15</f>
        <v>1538547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Krishna Tiwari</dc:creator>
  <cp:lastModifiedBy>Ram Krishna Tiwari</cp:lastModifiedBy>
  <dcterms:created xsi:type="dcterms:W3CDTF">2026-06-07T17:14:34Z</dcterms:created>
  <dcterms:modified xsi:type="dcterms:W3CDTF">2026-06-07T17:40:46Z</dcterms:modified>
</cp:coreProperties>
</file>